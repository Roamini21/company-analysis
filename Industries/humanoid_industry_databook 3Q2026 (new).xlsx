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b5889b68e54c10" /></Relationships>
</file>

<file path=xl/workbook.xml><?xml version="1.0" encoding="utf-8"?>
<x:workbook xmlns:x="http://schemas.openxmlformats.org/spreadsheetml/2006/main">
  <x:sheets>
    <x:sheet xmlns:r="http://schemas.openxmlformats.org/officeDocument/2006/relationships" name="읽는법" sheetId="1" r:id="R5ea432e82d11455a"/>
    <x:sheet xmlns:r="http://schemas.openxmlformats.org/officeDocument/2006/relationships" name="고객경제성" sheetId="2" r:id="Re302236fa35045d5"/>
    <x:sheet xmlns:r="http://schemas.openxmlformats.org/officeDocument/2006/relationships" name="민감도" sheetId="3" r:id="Rb025cc46fac54982"/>
    <x:sheet xmlns:r="http://schemas.openxmlformats.org/officeDocument/2006/relationships" name="시장모형" sheetId="4" r:id="R89d6081395364ea6"/>
    <x:sheet xmlns:r="http://schemas.openxmlformats.org/officeDocument/2006/relationships" name="공급사손익" sheetId="5" r:id="R9cbd88319b1e4a68"/>
    <x:sheet xmlns:r="http://schemas.openxmlformats.org/officeDocument/2006/relationships" name="투자역산" sheetId="6" r:id="R6d9ffb5234e04417"/>
    <x:sheet xmlns:r="http://schemas.openxmlformats.org/officeDocument/2006/relationships" name="기업목록" sheetId="7" r:id="Rd8ae84a2987a4a8a"/>
    <x:sheet xmlns:r="http://schemas.openxmlformats.org/officeDocument/2006/relationships" name="상용화사례" sheetId="8" r:id="R7d020aaf8e5b4b6e"/>
    <x:sheet xmlns:r="http://schemas.openxmlformats.org/officeDocument/2006/relationships" name="재무" sheetId="9" r:id="R7f21351de1ac4217"/>
    <x:sheet xmlns:r="http://schemas.openxmlformats.org/officeDocument/2006/relationships" name="출처" sheetId="10" r:id="R2dde0afbd881490b"/>
    <x:sheet xmlns:r="http://schemas.openxmlformats.org/officeDocument/2006/relationships" name="미디어" sheetId="11" r:id="R1c90d3c91e324155"/>
    <x:sheet xmlns:r="http://schemas.openxmlformats.org/officeDocument/2006/relationships" name="팩트체크" sheetId="12" r:id="Rb2c44aca078d4bb6"/>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quot;$&quot;0.000;(&quot;$&quot;0.000);&quot;—&quot;"/>
    <x:numFmt numFmtId="201" formatCode="#,##0;(#,##0);&quot;—&quot;"/>
    <x:numFmt numFmtId="202" formatCode="&quot;$&quot;#,##0;(&quot;$&quot;#,##0);&quot;—&quot;"/>
    <x:numFmt numFmtId="203" formatCode="0.00;(0.00);&quot;—&quot;"/>
    <x:numFmt numFmtId="204" formatCode="0.0%;(0.0%);&quot;—&quot;"/>
    <x:numFmt numFmtId="205" formatCode="0.00%"/>
    <x:numFmt numFmtId="206" formatCode="@"/>
    <x:numFmt numFmtId="207" formatCode="000000"/>
    <x:numFmt numFmtId="208" formatCode="0000"/>
    <x:numFmt numFmtId="209" formatCode="yyyy-mm-dd"/>
    <x:numFmt numFmtId="210" formatCode="#,##0.00;(#,##0.00);&quot;—&quot;"/>
  </x:numFmts>
  <x:fonts count="10">
    <x:font>
      <x:sz val="11"/>
      <x:name val="Carlito"/>
    </x:font>
    <x:font>
      <x:sz val="10"/>
      <x:color rgb="FF182C40"/>
      <x:name val="Noto Sans KR"/>
    </x:font>
    <x:font>
      <x:b/>
      <x:sz val="14"/>
      <x:color rgb="FF18304B"/>
      <x:name val="Noto Sans KR"/>
    </x:font>
    <x:font>
      <x:i/>
      <x:sz val="10"/>
      <x:color rgb="FF526679"/>
      <x:name val="Noto Sans KR"/>
    </x:font>
    <x:font>
      <x:b/>
      <x:sz val="10"/>
      <x:color rgb="FFFFFFFF"/>
      <x:name val="Noto Sans KR"/>
    </x:font>
    <x:font>
      <x:sz val="10"/>
      <x:color rgb="FF000000"/>
      <x:name val="Noto Sans KR"/>
    </x:font>
    <x:font>
      <x:sz val="10"/>
      <x:color rgb="FF0047BA"/>
      <x:name val="Noto Sans KR"/>
    </x:font>
    <x:font>
      <x:sz val="10"/>
      <x:color rgb="FF008047"/>
      <x:name val="Noto Sans KR"/>
    </x:font>
    <x:font>
      <x:b/>
      <x:sz val="10"/>
      <x:color rgb="FF18304B"/>
      <x:name val="Noto Sans KR"/>
    </x:font>
    <x:font>
      <x:b/>
      <x:sz val="10"/>
      <x:color rgb="FF182C40"/>
      <x:name val="Noto Sans KR"/>
    </x:font>
  </x:fonts>
  <x:fills count="5">
    <x:fill>
      <x:patternFill patternType="none"/>
    </x:fill>
    <x:fill>
      <x:patternFill patternType="gray125"/>
    </x:fill>
    <x:fill>
      <x:patternFill patternType="solid">
        <x:fgColor rgb="FF18304B"/>
      </x:patternFill>
    </x:fill>
    <x:fill>
      <x:patternFill patternType="solid">
        <x:fgColor rgb="FFEDF2F7"/>
      </x:patternFill>
    </x:fill>
    <x:fill>
      <x:patternFill patternType="solid">
        <x:fgColor rgb="FFFFF3D4"/>
      </x:patternFill>
    </x:fill>
  </x:fills>
  <x:borders count="1">
    <x:border/>
  </x:borders>
  <x:cellStyleXfs count="1">
    <x:xf numFmtId="0" fontId="0" fillId="0" borderId="0"/>
  </x:cellStyleXfs>
  <x:cellXfs count="5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0" fontId="5" fillId="0" borderId="0" xfId="0" applyNumberFormat="1" applyFont="1" applyFill="1" applyBorder="1" applyAlignment="1">
      <x:alignment horizontal="right" vertical="center"/>
    </x:xf>
    <x:xf numFmtId="0" fontId="1" fillId="3" borderId="0" xfId="0" applyNumberFormat="1" applyFont="1" applyFill="1" applyBorder="1" applyAlignment="1">
      <x:alignment vertical="center"/>
    </x:xf>
    <x:xf numFmtId="200" fontId="5" fillId="3" borderId="0" xfId="0" applyNumberFormat="1" applyFont="1" applyFill="1" applyBorder="1" applyAlignment="1">
      <x:alignment horizontal="right" vertical="center"/>
    </x:xf>
    <x:xf numFmtId="201" fontId="5" fillId="0" borderId="0" xfId="0" applyNumberFormat="1" applyFont="1" applyFill="1" applyBorder="1" applyAlignment="1">
      <x:alignment vertical="center"/>
    </x:xf>
    <x:xf numFmtId="201" fontId="5" fillId="0" borderId="0" xfId="0" applyNumberFormat="1" applyFont="1" applyFill="1" applyBorder="1" applyAlignment="1">
      <x:alignment horizontal="right" vertical="center"/>
    </x:xf>
    <x:xf numFmtId="201" fontId="5" fillId="3" borderId="0" xfId="0" applyNumberFormat="1" applyFont="1" applyFill="1" applyBorder="1" applyAlignment="1">
      <x:alignment horizontal="right" vertical="center"/>
    </x:xf>
    <x:xf numFmtId="202" fontId="5" fillId="0" borderId="0" xfId="0" applyNumberFormat="1" applyFont="1" applyFill="1" applyBorder="1" applyAlignment="1">
      <x:alignment vertical="center"/>
    </x:xf>
    <x:xf numFmtId="202" fontId="5" fillId="0" borderId="0" xfId="0" applyNumberFormat="1" applyFont="1" applyFill="1" applyBorder="1" applyAlignment="1">
      <x:alignment horizontal="right" vertical="center"/>
    </x:xf>
    <x:xf numFmtId="202" fontId="5" fillId="3" borderId="0" xfId="0" applyNumberFormat="1" applyFont="1" applyFill="1" applyBorder="1" applyAlignment="1">
      <x:alignment horizontal="right" vertical="center"/>
    </x:xf>
    <x:xf numFmtId="203" fontId="5" fillId="0" borderId="0" xfId="0" applyNumberFormat="1" applyFont="1" applyFill="1" applyBorder="1" applyAlignment="1">
      <x:alignment vertical="center"/>
    </x:xf>
    <x:xf numFmtId="203" fontId="5" fillId="0" borderId="0" xfId="0" applyNumberFormat="1" applyFont="1" applyFill="1" applyBorder="1" applyAlignment="1">
      <x:alignment horizontal="right" vertical="center"/>
    </x:xf>
    <x:xf numFmtId="204" fontId="5" fillId="0" borderId="0" xfId="0" applyNumberFormat="1" applyFont="1" applyFill="1" applyBorder="1" applyAlignment="1">
      <x:alignment vertical="center"/>
    </x:xf>
    <x:xf numFmtId="204" fontId="5" fillId="0" borderId="0" xfId="0" applyNumberFormat="1" applyFont="1" applyFill="1" applyBorder="1" applyAlignment="1">
      <x:alignment horizontal="right" vertical="center"/>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202" fontId="6" fillId="4" borderId="0" xfId="0" applyNumberFormat="1" applyFont="1" applyFill="1" applyBorder="1" applyAlignment="1">
      <x:alignment vertical="center"/>
    </x:xf>
    <x:xf numFmtId="202" fontId="6" fillId="4" borderId="0" xfId="0" applyNumberFormat="1" applyFont="1" applyFill="1" applyBorder="1" applyAlignment="1">
      <x:alignment horizontal="right" vertical="center"/>
    </x:xf>
    <x:xf numFmtId="201" fontId="6" fillId="4" borderId="0" xfId="0" applyNumberFormat="1" applyFont="1" applyFill="1" applyBorder="1" applyAlignment="1">
      <x:alignment vertical="center"/>
    </x:xf>
    <x:xf numFmtId="201" fontId="6" fillId="4" borderId="0" xfId="0" applyNumberFormat="1" applyFont="1" applyFill="1" applyBorder="1" applyAlignment="1">
      <x:alignment horizontal="right" vertical="center"/>
    </x:xf>
    <x:xf numFmtId="204" fontId="6" fillId="4" borderId="0" xfId="0" applyNumberFormat="1" applyFont="1" applyFill="1" applyBorder="1" applyAlignment="1">
      <x:alignment vertical="center"/>
    </x:xf>
    <x:xf numFmtId="204" fontId="6" fillId="4" borderId="0" xfId="0" applyNumberFormat="1" applyFont="1" applyFill="1" applyBorder="1" applyAlignment="1">
      <x:alignment horizontal="right" vertical="center"/>
    </x:xf>
    <x:xf numFmtId="203" fontId="6" fillId="4" borderId="0" xfId="0" applyNumberFormat="1" applyFont="1" applyFill="1" applyBorder="1" applyAlignment="1">
      <x:alignment vertical="center"/>
    </x:xf>
    <x:xf numFmtId="203" fontId="6" fillId="4" borderId="0" xfId="0" applyNumberFormat="1" applyFont="1" applyFill="1" applyBorder="1" applyAlignment="1">
      <x:alignment horizontal="right" vertical="center"/>
    </x:xf>
    <x:xf numFmtId="200" fontId="6" fillId="4" borderId="0" xfId="0" applyNumberFormat="1" applyFont="1" applyFill="1" applyBorder="1" applyAlignment="1">
      <x:alignment vertical="center"/>
    </x:xf>
    <x:xf numFmtId="200" fontId="6" fillId="4" borderId="0" xfId="0" applyNumberFormat="1" applyFont="1" applyFill="1" applyBorder="1" applyAlignment="1">
      <x:alignment horizontal="right" vertical="center"/>
    </x:xf>
    <x:xf numFmtId="205" fontId="6" fillId="4" borderId="0" xfId="0" applyNumberFormat="1" applyFont="1" applyFill="1" applyBorder="1" applyAlignment="1">
      <x:alignment horizontal="right" vertical="center"/>
    </x:xf>
    <x:xf numFmtId="0"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201" fontId="7" fillId="0" borderId="0" xfId="0" applyNumberFormat="1" applyFont="1" applyFill="1" applyBorder="1" applyAlignment="1">
      <x:alignment horizontal="right" vertical="center"/>
    </x:xf>
    <x:xf numFmtId="203" fontId="7" fillId="0" borderId="0" xfId="0" applyNumberFormat="1" applyFont="1" applyFill="1" applyBorder="1" applyAlignment="1">
      <x:alignment vertical="center"/>
    </x:xf>
    <x:xf numFmtId="203" fontId="7" fillId="0" borderId="0" xfId="0" applyNumberFormat="1" applyFont="1" applyFill="1" applyBorder="1" applyAlignment="1">
      <x:alignment horizontal="right" vertical="center"/>
    </x:xf>
    <x:xf numFmtId="0" fontId="8" fillId="3" borderId="0" xfId="0" applyNumberFormat="1" applyFont="1" applyFill="1" applyBorder="1" applyAlignment="1">
      <x:alignment vertical="center"/>
    </x:xf>
    <x:xf numFmtId="204" fontId="5" fillId="3" borderId="0"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6" fontId="1" fillId="0" borderId="0" xfId="0" applyNumberFormat="1" applyFont="1" applyFill="1" applyBorder="1" applyAlignment="1">
      <x:alignment vertical="top" wrapText="1"/>
    </x:xf>
    <x:xf numFmtId="207" fontId="1" fillId="0" borderId="0" xfId="0" applyNumberFormat="1" applyFont="1" applyFill="1" applyBorder="1" applyAlignment="1">
      <x:alignment vertical="top" wrapText="1"/>
    </x:xf>
    <x:xf numFmtId="208" fontId="1" fillId="0" borderId="0" xfId="0" applyNumberFormat="1" applyFont="1" applyFill="1" applyBorder="1" applyAlignment="1">
      <x:alignment vertical="top" wrapText="1"/>
    </x:xf>
    <x:xf numFmtId="209" fontId="1" fillId="0" borderId="0" xfId="0" applyNumberFormat="1" applyFont="1" applyFill="1" applyBorder="1" applyAlignment="1">
      <x:alignment vertical="top" wrapText="1"/>
    </x:xf>
    <x:xf numFmtId="210" fontId="1" fillId="0" borderId="0" xfId="0" applyNumberFormat="1" applyFont="1" applyFill="1" applyBorder="1" applyAlignment="1">
      <x:alignment vertical="top" wrapText="1"/>
    </x:xf>
    <x:xf numFmtId="21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200" fontId="7" fillId="0" borderId="0" xfId="0" applyNumberFormat="1" applyFont="1" applyFill="1" applyBorder="1" applyAlignment="1">
      <x:alignment vertical="center"/>
    </x:xf>
    <x:xf numFmtId="200" fontId="7" fillId="0" borderId="0" xfId="0" applyNumberFormat="1" applyFont="1" applyFill="1" applyBorder="1" applyAlignment="1">
      <x:alignment horizontal="right" vertical="center"/>
    </x:xf>
    <x:xf numFmtId="0" fontId="9" fillId="0" borderId="0" xfId="0" applyNumberFormat="1" applyFont="1" applyFill="1" applyBorder="1" applyAlignment="1">
      <x:alignment vertical="center"/>
    </x:xf>
  </x:cellXfs>
  <x:cellStyles count="1">
    <x:cellStyle name="Normal" xfId="0"/>
  </x:cellStyles>
  <x:dxfs count="23">
    <x:dxf>
      <x:font>
        <x:b/>
        <x:color rgb="FFA12B29"/>
      </x:font>
      <x:fill>
        <x:patternFill patternType="solid">
          <x:bgColor rgb="FFFDECEC"/>
        </x:patternFill>
      </x:fill>
    </x:dxf>
    <x:dxf>
      <x:font>
        <x:color rgb="FFA12B29"/>
      </x:font>
      <x:fill>
        <x:patternFill patternType="solid">
          <x:bgColor rgb="FFFDECEC"/>
        </x:patternFill>
      </x:fill>
    </x:dxf>
    <x:dxf>
      <x:font>
        <x:b/>
        <x:color rgb="FFA12B29"/>
      </x:font>
      <x:fill>
        <x:patternFill patternType="solid">
          <x:bgColor rgb="FFFDECEC"/>
        </x:patternFill>
      </x:fill>
    </x:dxf>
    <x:dxf>
      <x:font>
        <x:color rgb="FFA12B29"/>
      </x:font>
      <x:fill>
        <x:patternFill patternType="solid">
          <x:bgColor rgb="FFFDECEC"/>
        </x:patternFill>
      </x:fill>
    </x:dxf>
    <x:dxf>
      <x:font>
        <x:b/>
        <x:color rgb="FFA12B29"/>
      </x:font>
      <x:fill>
        <x:patternFill patternType="solid">
          <x:bgColor rgb="FFFDECEC"/>
        </x:patternFill>
      </x:fill>
    </x:dxf>
    <x:dxf>
      <x:font>
        <x:color rgb="FFA12B29"/>
      </x:font>
      <x:fill>
        <x:patternFill patternType="solid">
          <x:bgColor rgb="FFFDECEC"/>
        </x:patternFill>
      </x:fill>
    </x:dxf>
    <x:dxf>
      <x:font>
        <x:b/>
        <x:color rgb="FFA12B29"/>
      </x:font>
      <x:fill>
        <x:patternFill patternType="solid">
          <x:bgColor rgb="FFFDECEC"/>
        </x:patternFill>
      </x:fill>
    </x:dxf>
    <x:dxf>
      <x:font>
        <x:color rgb="FFA12B29"/>
      </x:font>
      <x:fill>
        <x:patternFill patternType="solid">
          <x:bgColor rgb="FFFDECEC"/>
        </x:patternFill>
      </x:fill>
    </x:dxf>
    <x:dxf>
      <x:font>
        <x:b/>
        <x:color rgb="FFA12B29"/>
      </x:font>
      <x:fill>
        <x:patternFill patternType="solid">
          <x:bgColor rgb="FFFDECEC"/>
        </x:patternFill>
      </x:fill>
    </x:dxf>
    <x:dxf>
      <x:font>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
      <x:font>
        <x:b/>
        <x:color rgb="FFA12B29"/>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3f396414684ca7" /><Relationship Type="http://schemas.openxmlformats.org/officeDocument/2006/relationships/theme" Target="/xl/theme/theme1.xml" Id="Rf6a3824ee71b4fd9" /><Relationship Type="http://schemas.openxmlformats.org/officeDocument/2006/relationships/sharedStrings" Target="/xl/sharedStrings.xml" Id="Rdb2c2a5a7eed4511" /><Relationship Type="http://schemas.openxmlformats.org/officeDocument/2006/relationships/worksheet" Target="/xl/worksheets/sheet1.xml" Id="R5ea432e82d11455a" /><Relationship Type="http://schemas.openxmlformats.org/officeDocument/2006/relationships/worksheet" Target="/xl/worksheets/sheet2.xml" Id="Re302236fa35045d5" /><Relationship Type="http://schemas.openxmlformats.org/officeDocument/2006/relationships/worksheet" Target="/xl/worksheets/sheet3.xml" Id="Rb025cc46fac54982" /><Relationship Type="http://schemas.openxmlformats.org/officeDocument/2006/relationships/worksheet" Target="/xl/worksheets/sheet4.xml" Id="R89d6081395364ea6" /><Relationship Type="http://schemas.openxmlformats.org/officeDocument/2006/relationships/worksheet" Target="/xl/worksheets/sheet5.xml" Id="R9cbd88319b1e4a68" /><Relationship Type="http://schemas.openxmlformats.org/officeDocument/2006/relationships/worksheet" Target="/xl/worksheets/sheet6.xml" Id="R6d9ffb5234e04417" /><Relationship Type="http://schemas.openxmlformats.org/officeDocument/2006/relationships/worksheet" Target="/xl/worksheets/sheet7.xml" Id="Rd8ae84a2987a4a8a" /><Relationship Type="http://schemas.openxmlformats.org/officeDocument/2006/relationships/worksheet" Target="/xl/worksheets/sheet8.xml" Id="R7d020aaf8e5b4b6e" /><Relationship Type="http://schemas.openxmlformats.org/officeDocument/2006/relationships/worksheet" Target="/xl/worksheets/sheet9.xml" Id="R7f21351de1ac4217" /><Relationship Type="http://schemas.openxmlformats.org/officeDocument/2006/relationships/worksheet" Target="/xl/worksheets/sheet10.xml" Id="R2dde0afbd881490b" /><Relationship Type="http://schemas.openxmlformats.org/officeDocument/2006/relationships/worksheet" Target="/xl/worksheets/sheet11.xml" Id="R1c90d3c91e324155" /><Relationship Type="http://schemas.openxmlformats.org/officeDocument/2006/relationships/worksheet" Target="/xl/worksheets/sheet12.xml" Id="Rb2c44aca078d4bb6"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27f7a49384475d" /></Relationships>
</file>

<file path=xl/drawings/_rels/drawing2.xml.rels>&#65279;<?xml version="1.0" encoding="utf-8"?><Relationships xmlns="http://schemas.openxmlformats.org/package/2006/relationships"><Relationship Type="http://schemas.openxmlformats.org/officeDocument/2006/relationships/chart" Target="/xl/drawings/charts/chart2.xml" Id="R4469f6cd1010476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Noto Sans KR"/>
                <a:ea typeface="Noto Sans KR"/>
                <a:cs typeface="Noto Sans KR"/>
              </a:rPr>
              <a:t>선택 시나리오의 설치와 실제 가동</a:t>
            </a:r>
          </a:p>
        </c:rich>
      </c:tx>
      <c:overlay val="0"/>
      <c:txPr>
        <a:bodyPr xmlns:a="http://schemas.openxmlformats.org/drawingml/2006/main" anchorCtr="1"/>
        <a:lstStyle xmlns:a="http://schemas.openxmlformats.org/drawingml/2006/main"/>
        <a:p xmlns:a="http://schemas.openxmlformats.org/drawingml/2006/main">
          <a:pPr>
            <a:defRPr sz="1050">
              <a:latin typeface="Noto Sans KR"/>
              <a:ea typeface="Noto Sans KR"/>
              <a:cs typeface="Noto Sans KR"/>
            </a:defRPr>
          </a:pPr>
        </a:p>
      </c:txPr>
    </c:title>
    <c:plotArea>
      <c:lineChart>
        <c:grouping val="standard"/>
        <c:varyColors val="0"/>
        <c:ser>
          <c:idx val="0"/>
          <c:order val="0"/>
          <c:tx>
            <c:v>설치 대수</c:v>
          </c:tx>
          <c:spPr>
            <a:ln xmlns:a="http://schemas.openxmlformats.org/drawingml/2006/main" w="19050">
              <a:solidFill>
                <a:srgbClr val="31587A"/>
              </a:solidFill>
              <a:prstDash val="solid"/>
            </a:ln>
          </c:spPr>
          <c:marker>
            <c:symbol val="none"/>
          </c:marker>
          <c:cat>
            <c:strRef>
              <c:f>'시장모형'!$M$82:$M$91</c:f>
              <c:strCache>
                <c:ptCount val="0"/>
              </c:strCache>
            </c:strRef>
          </c:cat>
          <c:val>
            <c:numRef>
              <c:f>'시장모형'!$N$82:$N$91</c:f>
              <c:numCache>
                <c:formatCode>#,##0,,"m"</c:formatCode>
                <c:ptCount val="0"/>
              </c:numCache>
            </c:numRef>
          </c:val>
          <c:smooth val="0"/>
        </c:ser>
        <c:ser>
          <c:idx val="1"/>
          <c:order val="1"/>
          <c:tx>
            <c:v>실제 가동</c:v>
          </c:tx>
          <c:spPr>
            <a:ln xmlns:a="http://schemas.openxmlformats.org/drawingml/2006/main" w="19050">
              <a:solidFill>
                <a:srgbClr val="9AB8C8"/>
              </a:solidFill>
              <a:prstDash val="solid"/>
            </a:ln>
          </c:spPr>
          <c:marker>
            <c:symbol val="none"/>
          </c:marker>
          <c:cat>
            <c:strRef>
              <c:f>'시장모형'!$M$82:$M$91</c:f>
              <c:strCache>
                <c:ptCount val="0"/>
              </c:strCache>
            </c:strRef>
          </c:cat>
          <c:val>
            <c:numRef>
              <c:f>'시장모형'!$O$82:$O$91</c:f>
              <c:numCache>
                <c:formatCode>#,##0,,"m"</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Noto Sans KR"/>
                <a:ea typeface="Noto Sans KR"/>
                <a:cs typeface="Noto Sans KR"/>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m&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Noto Sans KR"/>
                <a:ea typeface="Noto Sans KR"/>
                <a:cs typeface="Noto Sans KR"/>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Noto Sans KR"/>
              <a:ea typeface="Noto Sans KR"/>
              <a:cs typeface="Noto Sans KR"/>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Noto Sans KR"/>
                <a:ea typeface="Noto Sans KR"/>
                <a:cs typeface="Noto Sans KR"/>
              </a:rPr>
              <a:t>판매량별 현금 영업손익 (USD)</a:t>
            </a:r>
          </a:p>
        </c:rich>
      </c:tx>
      <c:overlay val="0"/>
      <c:txPr>
        <a:bodyPr xmlns:a="http://schemas.openxmlformats.org/drawingml/2006/main" anchorCtr="1"/>
        <a:lstStyle xmlns:a="http://schemas.openxmlformats.org/drawingml/2006/main"/>
        <a:p xmlns:a="http://schemas.openxmlformats.org/drawingml/2006/main">
          <a:pPr>
            <a:defRPr sz="1050">
              <a:latin typeface="Noto Sans KR"/>
              <a:ea typeface="Noto Sans KR"/>
              <a:cs typeface="Noto Sans KR"/>
            </a:defRPr>
          </a:pPr>
        </a:p>
      </c:txPr>
    </c:title>
    <c:plotArea>
      <c:barChart>
        <c:barDir val="col"/>
        <c:varyColors val="0"/>
        <c:ser>
          <c:idx val="0"/>
          <c:order val="0"/>
          <c:tx>
            <c:v>현금 영업손익</c:v>
          </c:tx>
          <c:spPr>
            <a:solidFill xmlns:a="http://schemas.openxmlformats.org/drawingml/2006/main">
              <a:srgbClr val="31587A"/>
            </a:solidFill>
          </c:spPr>
          <c:cat>
            <c:strRef>
              <c:f>'공급사손익'!$C$29:$C$31</c:f>
              <c:strCache>
                <c:ptCount val="0"/>
              </c:strCache>
            </c:strRef>
          </c:cat>
          <c:val>
            <c:numRef>
              <c:f>'공급사손익'!$F$29:$F$31</c:f>
              <c:numCache>
                <c:formatCode>0,,"m"</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Noto Sans KR"/>
                <a:ea typeface="Noto Sans KR"/>
                <a:cs typeface="Noto Sans KR"/>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m&quot;"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Noto Sans KR"/>
                <a:ea typeface="Noto Sans KR"/>
                <a:cs typeface="Noto Sans KR"/>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xdr:col>
      <xdr:colOff>0</xdr:colOff>
      <xdr:row>80</xdr:row>
      <xdr:rowOff>0</xdr:rowOff>
    </xdr:from>
    <xdr:to>
      <xdr:col>12</xdr:col>
      <xdr:colOff>0</xdr:colOff>
      <xdr:row>97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27f7a49384475d"/>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5</xdr:row>
      <xdr:rowOff>0</xdr:rowOff>
    </xdr:from>
    <xdr:to>
      <xdr:col>14</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69f6cd1010476e"/>
        </a:graphicData>
      </a:graphic>
    </xdr:graphicFrame>
    <xdr:clientData/>
  </xdr:twoCellAnchor>
</xdr:wsDr>
</file>

<file path=xl/tables/table1.xml><?xml version="1.0" encoding="utf-8"?>
<x:table xmlns:x="http://schemas.openxmlformats.org/spreadsheetml/2006/main" id="1" name="Companies" displayName="Companies" ref="C6:P110" headerRowCount="1" totalsRowCount="0" totalsRowShown="0">
  <x:autoFilter ref="C6:P110"/>
  <x:tableColumns count="14">
    <x:tableColumn id="1" name="ID"/>
    <x:tableColumn id="2" name="기업"/>
    <x:tableColumn id="3" name="법인명"/>
    <x:tableColumn id="4" name="지역"/>
    <x:tableColumn id="5" name="역할"/>
    <x:tableColumn id="6" name="상장 상태"/>
    <x:tableColumn id="7" name="티커"/>
    <x:tableColumn id="8" name="거래소"/>
    <x:tableColumn id="9" name="공급·사업 관계"/>
    <x:tableColumn id="10" name="투자 연결"/>
    <x:tableColumn id="11" name="검증 범위·한계"/>
    <x:tableColumn id="12" name="상장 확인일"/>
    <x:tableColumn id="13" name="원문"/>
    <x:tableColumn id="14" name="판단 확신도"/>
  </x:tableColumns>
  <x:tableStyleInfo name="TableStyleLight1" showFirstColumn="0" showLastColumn="0" showRowStripes="1" showColumnStripes="0"/>
</x:table>
</file>

<file path=xl/tables/table2.xml><?xml version="1.0" encoding="utf-8"?>
<x:table xmlns:x="http://schemas.openxmlformats.org/spreadsheetml/2006/main" id="2" name="Cases" displayName="Cases" ref="C6:K23" headerRowCount="1" totalsRowCount="0" totalsRowShown="0">
  <x:autoFilter ref="C6:K23"/>
  <x:tableColumns count="9">
    <x:tableColumn id="1" name="기업"/>
    <x:tableColumn id="2" name="지역"/>
    <x:tableColumn id="3" name="형태"/>
    <x:tableColumn id="4" name="사용 업무"/>
    <x:tableColumn id="5" name="기술·운영 성숙도"/>
    <x:tableColumn id="6" name="계약·재무 성숙도"/>
    <x:tableColumn id="7" name="확인 근거"/>
    <x:tableColumn id="8" name="검증 공백"/>
    <x:tableColumn id="9" name="원문 URL"/>
  </x:tableColumns>
  <x:tableStyleInfo name="TableStyleLight1" showFirstColumn="0" showLastColumn="0" showRowStripes="1" showColumnStripes="0"/>
</x:table>
</file>

<file path=xl/tables/table3.xml><?xml version="1.0" encoding="utf-8"?>
<x:table xmlns:x="http://schemas.openxmlformats.org/spreadsheetml/2006/main" id="3" name="Financials" displayName="Financials" ref="C6:M367" headerRowCount="1" totalsRowCount="0" totalsRowShown="0">
  <x:autoFilter ref="C6:M367"/>
  <x:tableColumns count="11">
    <x:tableColumn id="1" name="기업"/>
    <x:tableColumn id="2" name="티커"/>
    <x:tableColumn id="3" name="통화"/>
    <x:tableColumn id="4" name="기간"/>
    <x:tableColumn id="5" name="공시 항목"/>
    <x:tableColumn id="6" name="값·공시 내용"/>
    <x:tableColumn id="7" name="단위"/>
    <x:tableColumn id="8" name="확인일"/>
    <x:tableColumn id="9" name="원문 URL"/>
    <x:tableColumn id="10" name="조건·정의"/>
    <x:tableColumn id="11" name="자료키"/>
  </x:tableColumns>
  <x:tableStyleInfo name="TableStyleLight1" showFirstColumn="0" showLastColumn="0" showRowStripes="1" showColumnStripes="0"/>
</x:table>
</file>

<file path=xl/tables/table4.xml><?xml version="1.0" encoding="utf-8"?>
<x:table xmlns:x="http://schemas.openxmlformats.org/spreadsheetml/2006/main" id="4" name="Sources" displayName="Sources" ref="C6:M318" headerRowCount="1" totalsRowCount="0" totalsRowShown="0">
  <x:autoFilter ref="C6:M318"/>
  <x:tableColumns count="11">
    <x:tableColumn id="1" name="ID"/>
    <x:tableColumn id="2" name="자료명"/>
    <x:tableColumn id="3" name="발행 주체"/>
    <x:tableColumn id="4" name="공개일"/>
    <x:tableColumn id="5" name="확인일"/>
    <x:tableColumn id="6" name="언어"/>
    <x:tableColumn id="7" name="성격"/>
    <x:tableColumn id="8" name="지원 주장·관측"/>
    <x:tableColumn id="9" name="URL"/>
    <x:tableColumn id="10" name="한계"/>
    <x:tableColumn id="11" name="사용 장"/>
  </x:tableColumns>
  <x:tableStyleInfo name="TableStyleLight1" showFirstColumn="0" showLastColumn="0" showRowStripes="1" showColumnStripes="0"/>
</x:table>
</file>

<file path=xl/tables/table5.xml><?xml version="1.0" encoding="utf-8"?>
<x:table xmlns:x="http://schemas.openxmlformats.org/spreadsheetml/2006/main" id="5" name="Media" displayName="Media" ref="C6:P44" headerRowCount="1" totalsRowCount="0" totalsRowShown="0">
  <x:autoFilter ref="C6:P44"/>
  <x:tableColumns count="14">
    <x:tableColumn id="1" name="ID"/>
    <x:tableColumn id="2" name="기업"/>
    <x:tableColumn id="3" name="형식"/>
    <x:tableColumn id="4" name="제목"/>
    <x:tableColumn id="5" name="공개일"/>
    <x:tableColumn id="6" name="공식 게시물"/>
    <x:tableColumn id="7" name="원본 이미지·영상"/>
    <x:tableColumn id="8" name="크레딧"/>
    <x:tableColumn id="9" name="관찰한 내용"/>
    <x:tableColumn id="10" name="입증하지 못한 내용"/>
    <x:tableColumn id="11" name="재생·열람 검증"/>
    <x:tableColumn id="12" name="이용 조건"/>
    <x:tableColumn id="13" name="촬영일"/>
    <x:tableColumn id="14" name="확인일"/>
  </x:tableColumns>
  <x:tableStyleInfo name="TableStyleLight1" showFirstColumn="0" showLastColumn="0" showRowStripes="1" showColumnStripes="0"/>
</x:table>
</file>

<file path=xl/tables/table6.xml><?xml version="1.0" encoding="utf-8"?>
<x:table xmlns:x="http://schemas.openxmlformats.org/spreadsheetml/2006/main" id="6" name="FactChecks" displayName="FactChecks" ref="C6:I226" headerRowCount="1" totalsRowCount="0" totalsRowShown="0">
  <x:autoFilter ref="C6:I226"/>
  <x:tableColumns count="7">
    <x:tableColumn id="1" name="ID"/>
    <x:tableColumn id="2" name="검토 영역"/>
    <x:tableColumn id="3" name="검토한 주장"/>
    <x:tableColumn id="4" name="검증 결과"/>
    <x:tableColumn id="5" name="수정·확인 범위"/>
    <x:tableColumn id="6" name="원문 URL"/>
    <x:tableColumn id="7" name="확인일"/>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411a3ad7986a4b38" /></Relationships>
</file>

<file path=xl/worksheets/_rels/sheet5.xml.rels>&#65279;<?xml version="1.0" encoding="utf-8"?><Relationships xmlns="http://schemas.openxmlformats.org/package/2006/relationships"><Relationship Type="http://schemas.openxmlformats.org/officeDocument/2006/relationships/drawing" Target="/xl/drawings/drawing2.xml" Id="Rc985c6fa29654923" /></Relationships>
</file>

<file path=xl/worksheets/_rels/sheet7.xml.rels>&#65279;<?xml version="1.0" encoding="utf-8"?><Relationships xmlns="http://schemas.openxmlformats.org/package/2006/relationships"><Relationship Type="http://schemas.openxmlformats.org/officeDocument/2006/relationships/table" Target="/xl/tables/table1.xml" Id="R22ebbf29c49041e4" /></Relationships>
</file>

<file path=xl/worksheets/_rels/sheet8.xml.rels>&#65279;<?xml version="1.0" encoding="utf-8"?><Relationships xmlns="http://schemas.openxmlformats.org/package/2006/relationships"><Relationship Type="http://schemas.openxmlformats.org/officeDocument/2006/relationships/table" Target="/xl/tables/table2.xml" Id="Rc419dc625d844a9f" /></Relationships>
</file>

<file path=xl/worksheets/_rels/sheet9.xml.rels>&#65279;<?xml version="1.0" encoding="utf-8"?><Relationships xmlns="http://schemas.openxmlformats.org/package/2006/relationships"><Relationship Type="http://schemas.openxmlformats.org/officeDocument/2006/relationships/table" Target="/xl/tables/table3.xml" Id="R750873813d1d4fbb" /></Relationships>
</file>

<file path=xl/worksheets/_rels/sheet10.xml.rels>&#65279;<?xml version="1.0" encoding="utf-8"?><Relationships xmlns="http://schemas.openxmlformats.org/package/2006/relationships"><Relationship Type="http://schemas.openxmlformats.org/officeDocument/2006/relationships/table" Target="/xl/tables/table4.xml" Id="Rcde27b7ca80e4227" /></Relationships>
</file>

<file path=xl/worksheets/_rels/sheet11.xml.rels>&#65279;<?xml version="1.0" encoding="utf-8"?><Relationships xmlns="http://schemas.openxmlformats.org/package/2006/relationships"><Relationship Type="http://schemas.openxmlformats.org/officeDocument/2006/relationships/table" Target="/xl/tables/table5.xml" Id="Refc7a32678ed4143" /></Relationships>
</file>

<file path=xl/worksheets/_rels/sheet12.xml.rels>&#65279;<?xml version="1.0" encoding="utf-8"?><Relationships xmlns="http://schemas.openxmlformats.org/package/2006/relationships"><Relationship Type="http://schemas.openxmlformats.org/officeDocument/2006/relationships/table" Target="/xl/tables/table6.xml" Id="R557913e1890b41e2" /></Relationships>
</file>

<file path=xl/worksheets/sheet1.xml><?xml version="1.0" encoding="utf-8"?>
<x:worksheet xmlns:x="http://schemas.openxmlformats.org/spreadsheetml/2006/main">
  <x:sheetPr>
    <x:tabColor rgb="FF18304B"/>
  </x:sheetPr>
  <x:sheetViews>
    <x:sheetView showGridLines="0" workbookViewId="0"/>
  </x:sheetViews>
  <x:sheetFormatPr defaultRowHeight="15"/>
  <x:cols>
    <x:col min="1" max="1" width="2" hidden="0" customWidth="1"/>
    <x:col min="2" max="2" width="2" hidden="0" customWidth="1"/>
    <x:col min="3" max="3" width="26" hidden="0" customWidth="1"/>
    <x:col min="4" max="4" width="46" hidden="0" customWidth="1"/>
    <x:col min="5" max="5" width="23" hidden="0" customWidth="1"/>
    <x:col min="6" max="6" width="3" hidden="0" customWidth="1"/>
    <x:col min="7" max="7" width="33" hidden="0" customWidth="1"/>
    <x:col min="8" max="8" width="25" hidden="0" customWidth="1"/>
    <x:col min="9" max="9" width="23" hidden="0" customWidth="1"/>
  </x:cols>
  <x:sheetData>
    <x:row r="1" ht="24" customHeight="1">
      <x:c r="A1" s="2"/>
      <x:c r="B1" s="2"/>
      <x:c r="C1" s="2"/>
      <x:c r="D1" s="2"/>
      <x:c r="E1" s="2"/>
      <x:c r="F1" s="2"/>
      <x:c r="G1" s="2"/>
      <x:c r="H1" s="2"/>
      <x:c r="I1" s="2"/>
    </x:row>
    <x:row r="2" ht="24" customHeight="1">
      <x:c r="A2" s="2"/>
      <x:c r="B2" s="2"/>
      <x:c r="C2" s="3" t="str">
        <x:v>휴머노이드 산업 데이터북</x:v>
      </x:c>
      <x:c r="D2" s="3"/>
      <x:c r="E2" s="3"/>
      <x:c r="F2" s="3"/>
      <x:c r="G2" s="3"/>
      <x:c r="H2" s="3"/>
      <x:c r="I2" s="3"/>
    </x:row>
    <x:row r="3" ht="24" customHeight="1">
      <x:c r="A3" s="2"/>
      <x:c r="B3" s="2"/>
      <x:c r="C3" s="2"/>
      <x:c r="D3" s="2"/>
      <x:c r="E3" s="2"/>
      <x:c r="F3" s="2"/>
      <x:c r="G3" s="2"/>
      <x:c r="H3" s="2"/>
      <x:c r="I3" s="2"/>
    </x:row>
    <x:row r="4" ht="24" customHeight="1">
      <x:c r="A4" s="2"/>
      <x:c r="B4" s="2"/>
      <x:c r="C4" s="4" t="str">
        <x:v>기준일 2026-09-17. 세계 산업의 이해·국내외 투자 가정 검증·후속 관측을 위한 완성 보고서 부속 모델입니다.</x:v>
      </x:c>
      <x:c r="D4" s="2"/>
      <x:c r="E4" s="2"/>
      <x:c r="F4" s="2"/>
      <x:c r="G4" s="2"/>
      <x:c r="H4" s="2"/>
      <x:c r="I4" s="2"/>
    </x:row>
    <x:row r="5" ht="24" customHeight="1">
      <x:c r="A5" s="2"/>
      <x:c r="B5" s="2"/>
      <x:c r="C5" s="2"/>
      <x:c r="D5" s="2"/>
      <x:c r="E5" s="2"/>
      <x:c r="F5" s="2"/>
      <x:c r="G5" s="2"/>
      <x:c r="H5" s="2"/>
      <x:c r="I5" s="2"/>
    </x:row>
    <x:row r="6" ht="34" customHeight="1">
      <x:c r="A6" s="2"/>
      <x:c r="B6" s="2"/>
      <x:c r="C6" s="8" t="str">
        <x:v>탭</x:v>
      </x:c>
      <x:c r="D6" s="8" t="str">
        <x:v>확인하는 질문</x:v>
      </x:c>
      <x:c r="E6" s="8" t="str">
        <x:v>수정 위치</x:v>
      </x:c>
      <x:c r="F6" s="2"/>
      <x:c r="G6" s="8" t="str">
        <x:v>현재 모델 결과</x:v>
      </x:c>
      <x:c r="H6" s="8" t="str">
        <x:v>단위</x:v>
      </x:c>
      <x:c r="I6" s="8" t="str">
        <x:v>값</x:v>
      </x:c>
    </x:row>
    <x:row r="7" ht="40" customHeight="1">
      <x:c r="A7" s="2"/>
      <x:c r="B7" s="2"/>
      <x:c r="C7" s="44" t="str">
        <x:v>고객경제성</x:v>
      </x:c>
      <x:c r="D7" s="44" t="str">
        <x:v>사람·협동로봇·AMR·전용설비와 비교한 총비용</x:v>
      </x:c>
      <x:c r="E7" s="44" t="str">
        <x:v>E25:I50</x:v>
      </x:c>
      <x:c r="F7" s="2"/>
      <x:c r="G7" s="44" t="str">
        <x:v>제조 휴머노이드 작업당 비용</x:v>
      </x:c>
      <x:c r="H7" s="2" t="str">
        <x:v>USD</x:v>
      </x:c>
      <x:c r="I7" s="55" t="n">
        <x:f>'고객경제성'!E7</x:f>
        <x:v>0.28145557169449775</x:v>
      </x:c>
    </x:row>
    <x:row r="8" ht="40" customHeight="1">
      <x:c r="A8" s="2"/>
      <x:c r="B8" s="2"/>
      <x:c r="C8" s="44" t="str">
        <x:v>민감도</x:v>
      </x:c>
      <x:c r="D8" s="44" t="str">
        <x:v>가동률·현금절감 실현율이 경제성을 바꾸는가</x:v>
      </x:c>
      <x:c r="E8" s="44" t="str">
        <x:v>C7:C12, E6:J6</x:v>
      </x:c>
      <x:c r="F8" s="2"/>
      <x:c r="G8" s="44" t="str">
        <x:v>제조 휴머노이드 회수기간</x:v>
      </x:c>
      <x:c r="H8" s="2" t="str">
        <x:v>년</x:v>
      </x:c>
      <x:c r="I8" s="41" t="n">
        <x:f>'고객경제성'!E12</x:f>
        <x:v>2.528062802654115</x:v>
      </x:c>
    </x:row>
    <x:row r="9" ht="40" customHeight="1">
      <x:c r="A9" s="2"/>
      <x:c r="B9" s="2"/>
      <x:c r="C9" s="44" t="str">
        <x:v>시장모형</x:v>
      </x:c>
      <x:c r="D9" s="44" t="str">
        <x:v>출하·설치·실가동과 매출은 얼마나 다른가</x:v>
      </x:c>
      <x:c r="E9" s="44" t="str">
        <x:v>E5 및 노란 입력</x:v>
      </x:c>
      <x:c r="F9" s="2"/>
      <x:c r="G9" s="44" t="str">
        <x:v>세계 시장 선택 시나리오</x:v>
      </x:c>
      <x:c r="H9" s="2" t="str">
        <x:v>구분</x:v>
      </x:c>
      <x:c r="I9" s="37" t="str">
        <x:f>'시장모형'!G5</x:f>
        <x:v>기준</x:v>
      </x:c>
    </x:row>
    <x:row r="10" ht="40" customHeight="1">
      <x:c r="A10" s="2"/>
      <x:c r="B10" s="2"/>
      <x:c r="C10" s="44" t="str">
        <x:v>공급사손익</x:v>
      </x:c>
      <x:c r="D10" s="44" t="str">
        <x:v>고객 절감이 공급사 이익으로 남는가</x:v>
      </x:c>
      <x:c r="E10" s="44" t="str">
        <x:v>E7:E13, C29:C31</x:v>
      </x:c>
      <x:c r="F10" s="2"/>
      <x:c r="G10" s="44" t="str">
        <x:v>2035 연 출하 가정</x:v>
      </x:c>
      <x:c r="H10" s="2" t="str">
        <x:v>대</x:v>
      </x:c>
      <x:c r="I10" s="39" t="n">
        <x:f>'시장모형'!N9</x:f>
        <x:v>1200000</x:v>
      </x:c>
    </x:row>
    <x:row r="11" ht="40" customHeight="1">
      <x:c r="A11" s="2"/>
      <x:c r="B11" s="2"/>
      <x:c r="C11" s="44" t="str">
        <x:v>투자역산</x:v>
      </x:c>
      <x:c r="D11" s="44" t="str">
        <x:v>가격·가정은 어떤 로봇 이익을 요구하는가</x:v>
      </x:c>
      <x:c r="E11" s="44" t="str">
        <x:v>Tesla·UBTECH·NVIDIA 노란 입력</x:v>
      </x:c>
      <x:c r="F11" s="2"/>
      <x:c r="G11" s="44" t="str">
        <x:v>2035 실제 가동 가정</x:v>
      </x:c>
      <x:c r="H11" s="2" t="str">
        <x:v>대</x:v>
      </x:c>
      <x:c r="I11" s="39" t="n">
        <x:f>'시장모형'!N12</x:f>
        <x:v>3201525</x:v>
      </x:c>
    </x:row>
    <x:row r="12" ht="40" customHeight="1">
      <x:c r="A12" s="2"/>
      <x:c r="B12" s="2"/>
      <x:c r="C12" s="44" t="str">
        <x:v>기업목록</x:v>
      </x:c>
      <x:c r="D12" s="44" t="str">
        <x:v>완성체·부품·반도체·SW·서비스·고객의 관계</x:v>
      </x:c>
      <x:c r="E12" s="44" t="str">
        <x:v>공식 원문·검증 범위</x:v>
      </x:c>
      <x:c r="F12" s="2"/>
      <x:c r="G12" s="44" t="str">
        <x:v>공급사 손익분기 최소 정수 대수</x:v>
      </x:c>
      <x:c r="H12" s="2" t="str">
        <x:v>대</x:v>
      </x:c>
      <x:c r="I12" s="39" t="n">
        <x:f>IF(ISNUMBER('공급사손익'!E23),ROUNDUP('공급사손익'!E23,0),'공급사손익'!E23)</x:f>
        <x:v>5334</x:v>
      </x:c>
    </x:row>
    <x:row r="13" ht="40" customHeight="1">
      <x:c r="A13" s="2"/>
      <x:c r="B13" s="2"/>
      <x:c r="C13" s="44" t="str">
        <x:v>상용화사례</x:v>
      </x:c>
      <x:c r="D13" s="44" t="str">
        <x:v>세계 각국 현장의 운영과 계약 성숙도</x:v>
      </x:c>
      <x:c r="E13" s="44" t="str">
        <x:v>원문·검증 공백</x:v>
      </x:c>
      <x:c r="F13" s="2"/>
      <x:c r="G13" s="2"/>
      <x:c r="H13" s="2"/>
      <x:c r="I13" s="2"/>
    </x:row>
    <x:row r="14" ht="40" customHeight="1">
      <x:c r="A14" s="2"/>
      <x:c r="B14" s="2"/>
      <x:c r="C14" s="44" t="str">
        <x:v>재무</x:v>
      </x:c>
      <x:c r="D14" s="44" t="str">
        <x:v>공시 기간·통화·주가·현금·손익의 차이</x:v>
      </x:c>
      <x:c r="E14" s="44" t="str">
        <x:v>항목·단위·출처</x:v>
      </x:c>
      <x:c r="F14" s="2"/>
      <x:c r="G14" s="2"/>
      <x:c r="H14" s="2"/>
      <x:c r="I14" s="2"/>
    </x:row>
    <x:row r="15" ht="40" customHeight="1">
      <x:c r="A15" s="2"/>
      <x:c r="B15" s="2"/>
      <x:c r="C15" s="44" t="str">
        <x:v>출처</x:v>
      </x:c>
      <x:c r="D15" s="44" t="str">
        <x:v>주장이 어디에서 나왔는가</x:v>
      </x:c>
      <x:c r="E15" s="44" t="str">
        <x:v>원문·날짜·한계</x:v>
      </x:c>
      <x:c r="F15" s="2"/>
      <x:c r="G15" s="2"/>
      <x:c r="H15" s="2"/>
      <x:c r="I15" s="2"/>
    </x:row>
    <x:row r="16" ht="40" customHeight="1">
      <x:c r="A16" s="2"/>
      <x:c r="B16" s="2"/>
      <x:c r="C16" s="44" t="str">
        <x:v>미디어</x:v>
      </x:c>
      <x:c r="D16" s="44" t="str">
        <x:v>원본 사진·동영상이 무엇을 입증하는가</x:v>
      </x:c>
      <x:c r="E16" s="44" t="str">
        <x:v>공식 게시물·관찰 범위</x:v>
      </x:c>
      <x:c r="F16" s="2"/>
      <x:c r="G16" s="2"/>
      <x:c r="H16" s="2"/>
      <x:c r="I16" s="2"/>
    </x:row>
    <x:row r="17" ht="40" customHeight="1">
      <x:c r="A17" s="2"/>
      <x:c r="B17" s="2"/>
      <x:c r="C17" s="44" t="str">
        <x:v>팩트체크</x:v>
      </x:c>
      <x:c r="D17" s="44" t="str">
        <x:v>주장·수치의 확인 결과와 한계</x:v>
      </x:c>
      <x:c r="E17" s="44" t="str">
        <x:v>검증 대장·원문</x:v>
      </x:c>
      <x:c r="F17" s="2"/>
      <x:c r="G17" s="2"/>
      <x:c r="H17" s="2"/>
      <x:c r="I17" s="2"/>
    </x:row>
    <x:row r="18" ht="24" customHeight="1">
      <x:c r="A18" s="2"/>
      <x:c r="B18" s="2"/>
      <x:c r="C18" s="2"/>
      <x:c r="D18" s="2"/>
      <x:c r="E18" s="2"/>
      <x:c r="F18" s="2"/>
      <x:c r="G18" s="2"/>
      <x:c r="H18" s="2"/>
      <x:c r="I18" s="2"/>
    </x:row>
    <x:row r="19" ht="26" customHeight="1">
      <x:c r="A19" s="2"/>
      <x:c r="B19" s="2"/>
      <x:c r="C19" s="42" t="str">
        <x:v>해석과 편집</x:v>
      </x:c>
      <x:c r="D19" s="42"/>
      <x:c r="E19" s="42"/>
      <x:c r="F19" s="42"/>
      <x:c r="G19" s="42"/>
      <x:c r="H19" s="42"/>
      <x:c r="I19" s="42"/>
    </x:row>
    <x:row r="20" ht="30" customHeight="1">
      <x:c r="A20" s="2"/>
      <x:c r="B20" s="2"/>
      <x:c r="C20" s="56" t="str">
        <x:v>파란 숫자·노란 셀</x:v>
      </x:c>
      <x:c r="D20" s="2" t="str">
        <x:v>사용자가 바꿀 수 있는 입력입니다. 같은 시나리오 선택값은 시장 모형 한 곳에만 있습니다.</x:v>
      </x:c>
      <x:c r="E20" s="2"/>
      <x:c r="F20" s="2"/>
      <x:c r="G20" s="2"/>
      <x:c r="H20" s="2"/>
      <x:c r="I20" s="2"/>
    </x:row>
    <x:row r="21" ht="30" customHeight="1">
      <x:c r="A21" s="2"/>
      <x:c r="B21" s="2"/>
      <x:c r="C21" s="56" t="str">
        <x:v>검은 숫자</x:v>
      </x:c>
      <x:c r="D21" s="2" t="str">
        <x:v>같은 시트의 계산 결과입니다. 녹색 숫자는 다른 탭을 참조합니다.</x:v>
      </x:c>
      <x:c r="E21" s="2"/>
      <x:c r="F21" s="2"/>
      <x:c r="G21" s="2"/>
      <x:c r="H21" s="2"/>
      <x:c r="I21" s="2"/>
    </x:row>
    <x:row r="22" ht="30" customHeight="1">
      <x:c r="A22" s="2"/>
      <x:c r="B22" s="2"/>
      <x:c r="C22" s="56" t="str">
        <x:v>0과 미확인</x:v>
      </x:c>
      <x:c r="D22" s="2" t="str">
        <x:v>0은 확인되거나 명시한 수치입니다. 미확인·입력 필요·회수불가를 0으로 바꾸지 마십시오.</x:v>
      </x:c>
      <x:c r="E22" s="2"/>
      <x:c r="F22" s="2"/>
      <x:c r="G22" s="2"/>
      <x:c r="H22" s="2"/>
      <x:c r="I22" s="2"/>
    </x:row>
    <x:row r="23" ht="30" customHeight="1">
      <x:c r="A23" s="2"/>
      <x:c r="B23" s="2"/>
      <x:c r="C23" s="56" t="str">
        <x:v>가정과 관측</x:v>
      </x:c>
      <x:c r="D23" s="2" t="str">
        <x:v>BLS 임금·고용 외 모델 조건은 추정 가정입니다. 모델 값은 업체 실적·견적·시장 예측이 아닙니다.</x:v>
      </x:c>
      <x:c r="E23" s="2"/>
      <x:c r="F23" s="2"/>
      <x:c r="G23" s="2"/>
      <x:c r="H23" s="2"/>
      <x:c r="I23" s="2"/>
    </x:row>
    <x:row r="24" ht="30" customHeight="1">
      <x:c r="A24" s="2"/>
      <x:c r="B24" s="2"/>
      <x:c r="C24" s="56" t="str">
        <x:v>출하와 설치</x:v>
      </x:c>
      <x:c r="D24" s="2" t="str">
        <x:v>가동 개시·퇴역을 거쳐 설치를 계산하고 실제 가동을 다시 구분합니다. 부품을 중복 합산하지 않습니다.</x:v>
      </x:c>
      <x:c r="E24" s="2"/>
      <x:c r="F24" s="2"/>
      <x:c r="G24" s="2"/>
      <x:c r="H24" s="2"/>
      <x:c r="I24" s="2"/>
    </x:row>
    <x:row r="25" ht="30" customHeight="1">
      <x:c r="A25" s="2"/>
      <x:c r="B25" s="2"/>
      <x:c r="C25" s="56" t="str">
        <x:v>가격과 기술</x:v>
      </x:c>
      <x:c r="D25" s="2" t="str">
        <x:v>뛰어난 기술, 고객 ROI, 공급사 수익성, 좋은 주식 수익률은 각각 검증해야 합니다.</x:v>
      </x:c>
      <x:c r="E25" s="2"/>
      <x:c r="F25" s="2"/>
      <x:c r="G25" s="2"/>
      <x:c r="H25" s="2"/>
      <x:c r="I25" s="2"/>
    </x:row>
    <x:row r="26" ht="30" customHeight="1">
      <x:c r="A26" s="2"/>
      <x:c r="B26" s="2"/>
      <x:c r="C26" s="56" t="str">
        <x:v>현장 경제성</x:v>
      </x:c>
      <x:c r="D26" s="2" t="str">
        <x:v>일치하는 작업·수요·품질·안전 조건으로 비교하십시오. 다른 업무 1건의 비용을 직접 서열화하지 마십시오.</x:v>
      </x:c>
      <x:c r="E26" s="2"/>
      <x:c r="F26" s="2"/>
      <x:c r="G26" s="2"/>
      <x:c r="H26" s="2"/>
      <x:c r="I26" s="2"/>
    </x:row>
    <x:row r="27" ht="24" customHeight="1">
      <x:c r="A27" s="2"/>
      <x:c r="B27" s="2"/>
      <x:c r="C27" s="2"/>
      <x:c r="D27" s="2"/>
      <x:c r="E27" s="2"/>
      <x:c r="F27" s="2"/>
      <x:c r="G27" s="2"/>
      <x:c r="H27" s="2"/>
      <x:c r="I27" s="2"/>
    </x:row>
    <x:row r="28" ht="24" customHeight="1">
      <x:c r="A28" s="2"/>
      <x:c r="B28" s="2"/>
      <x:c r="C28" s="2"/>
      <x:c r="D28" s="2"/>
      <x:c r="E28" s="2"/>
      <x:c r="F28" s="2"/>
      <x:c r="G28" s="2"/>
      <x:c r="H28" s="2"/>
      <x:c r="I28" s="2"/>
    </x:row>
    <x:row r="29" ht="24" customHeight="1">
      <x:c r="A29" s="2"/>
      <x:c r="B29" s="2"/>
      <x:c r="C29" s="2" t="str">
        <x:v>기업 104개 / 사례 17개 / 미디어 38개 / 통합 출처 312개</x:v>
      </x:c>
      <x:c r="D29" s="2"/>
      <x:c r="E29" s="2"/>
      <x:c r="F29" s="2"/>
      <x:c r="G29" s="2"/>
      <x:c r="H29" s="2"/>
      <x:c r="I29" s="2"/>
    </x:row>
    <x:row r="30" ht="24" customHeight="1">
      <x:c r="A30" s="2"/>
      <x:c r="B30" s="2"/>
      <x:c r="C30" s="2"/>
      <x:c r="D30" s="2"/>
      <x:c r="E30" s="2"/>
      <x:c r="F30" s="2"/>
      <x:c r="G30" s="2"/>
      <x:c r="H30" s="2"/>
      <x:c r="I30" s="2"/>
    </x:row>
    <x:row r="31" ht="24" customHeight="1">
      <x:c r="A31" s="2"/>
      <x:c r="B31" s="2"/>
      <x:c r="C31" s="4" t="str">
        <x:v>역산의 주식 수·참고 지분가치·시장 배분은 명시적 조건입니다. 검증된 현재 시가총액과 혼동하지 마십시오.</x:v>
      </x:c>
      <x:c r="D31" s="2"/>
      <x:c r="E31" s="2"/>
      <x:c r="F31" s="2"/>
      <x:c r="G31" s="2"/>
      <x:c r="H31" s="2"/>
      <x:c r="I31" s="2"/>
    </x:row>
    <x:row r="32" ht="24" customHeight="1">
      <x:c r="A32" s="2"/>
      <x:c r="B32" s="2"/>
      <x:c r="C32" s="2"/>
      <x:c r="D32" s="2"/>
      <x:c r="E32" s="2"/>
      <x:c r="F32" s="2"/>
      <x:c r="G32" s="2"/>
      <x:c r="H32" s="2"/>
      <x:c r="I32" s="2"/>
    </x:row>
    <x:row r="33" ht="24" customHeight="1">
      <x:c r="A33" s="2"/>
      <x:c r="B33" s="2"/>
      <x:c r="C33" s="2"/>
      <x:c r="D33" s="2"/>
      <x:c r="E33" s="2"/>
      <x:c r="F33" s="2"/>
      <x:c r="G33" s="2"/>
      <x:c r="H33" s="2"/>
      <x:c r="I33" s="2"/>
    </x:row>
    <x:row r="34" ht="24" customHeight="1">
      <x:c r="A34" s="2"/>
      <x:c r="B34" s="2"/>
      <x:c r="C34" s="2"/>
      <x:c r="D34" s="2"/>
      <x:c r="E34" s="2"/>
      <x:c r="F34" s="2"/>
      <x:c r="G34" s="2"/>
      <x:c r="H34" s="2"/>
      <x:c r="I34" s="2"/>
    </x:row>
    <x:row r="35" ht="24" customHeight="1">
      <x:c r="A35" s="2"/>
      <x:c r="B35" s="2"/>
      <x:c r="C35" s="2"/>
      <x:c r="D35" s="2"/>
      <x:c r="E35" s="2"/>
      <x:c r="F35" s="2"/>
      <x:c r="G35" s="2"/>
      <x:c r="H35" s="2"/>
      <x:c r="I35" s="2"/>
    </x:row>
    <x:row r="36" ht="24" customHeight="1">
      <x:c r="A36" s="2"/>
      <x:c r="B36" s="2"/>
      <x:c r="C36" s="2"/>
      <x:c r="D36" s="2"/>
      <x:c r="E36" s="2"/>
      <x:c r="F36" s="2"/>
      <x:c r="G36" s="2"/>
      <x:c r="H36" s="2"/>
      <x:c r="I36" s="2"/>
    </x:row>
    <x:row r="37" ht="24" customHeight="1">
      <x:c r="A37" s="2"/>
      <x:c r="B37" s="2"/>
      <x:c r="C37" s="2"/>
      <x:c r="D37" s="2"/>
      <x:c r="E37" s="2"/>
      <x:c r="F37" s="2"/>
      <x:c r="G37" s="2"/>
      <x:c r="H37" s="2"/>
      <x:c r="I37" s="2"/>
    </x:row>
    <x:row r="38" ht="24" customHeight="1">
      <x:c r="A38" s="2"/>
      <x:c r="B38" s="2"/>
      <x:c r="C38" s="2"/>
      <x:c r="D38" s="2"/>
      <x:c r="E38" s="2"/>
      <x:c r="F38" s="2"/>
      <x:c r="G38" s="2"/>
      <x:c r="H38" s="2"/>
      <x:c r="I38" s="2"/>
    </x:row>
    <x:row r="39" ht="24" customHeight="1">
      <x:c r="A39" s="2"/>
      <x:c r="B39" s="2"/>
      <x:c r="C39" s="2"/>
      <x:c r="D39" s="2"/>
      <x:c r="E39" s="2"/>
      <x:c r="F39" s="2"/>
      <x:c r="G39" s="2"/>
      <x:c r="H39" s="2"/>
      <x:c r="I39" s="2"/>
    </x:row>
    <x:row r="40" ht="24" customHeight="1">
      <x:c r="A40" s="2"/>
      <x:c r="B40" s="2"/>
      <x:c r="C40" s="2"/>
      <x:c r="D40" s="2"/>
      <x:c r="E40" s="2"/>
      <x:c r="F40" s="2"/>
      <x:c r="G40" s="2"/>
      <x:c r="H40" s="2"/>
      <x:c r="I40" s="2"/>
    </x:row>
    <x:row r="41" ht="24" customHeight="1">
      <x:c r="A41" s="2"/>
      <x:c r="B41" s="2"/>
      <x:c r="C41" s="2"/>
      <x:c r="D41" s="2"/>
      <x:c r="E41" s="2"/>
      <x:c r="F41" s="2"/>
      <x:c r="G41" s="2"/>
      <x:c r="H41" s="2"/>
      <x:c r="I41" s="2"/>
    </x:row>
    <x:row r="42" ht="24" customHeight="1">
      <x:c r="A42" s="2"/>
      <x:c r="B42" s="2"/>
      <x:c r="C42" s="2"/>
      <x:c r="D42" s="2"/>
      <x:c r="E42" s="2"/>
      <x:c r="F42" s="2"/>
      <x:c r="G42" s="2"/>
      <x:c r="H42" s="2"/>
      <x:c r="I42" s="2"/>
    </x:row>
    <x:row r="43" ht="24" customHeight="1">
      <x:c r="A43" s="2"/>
      <x:c r="B43" s="2"/>
      <x:c r="C43" s="2"/>
      <x:c r="D43" s="2"/>
      <x:c r="E43" s="2"/>
      <x:c r="F43" s="2"/>
      <x:c r="G43" s="2"/>
      <x:c r="H43" s="2"/>
      <x:c r="I43" s="2"/>
    </x:row>
    <x:row r="44" ht="24" customHeight="1">
      <x:c r="A44" s="2"/>
      <x:c r="B44" s="2"/>
      <x:c r="C44" s="2"/>
      <x:c r="D44" s="2"/>
      <x:c r="E44" s="2"/>
      <x:c r="F44" s="2"/>
      <x:c r="G44" s="2"/>
      <x:c r="H44" s="2"/>
      <x:c r="I44" s="2"/>
    </x:row>
  </x:sheetData>
  <x:pageMargins left="0.7" right="0.7" top="0.75" bottom="0.75" header="0.3" footer="0.3"/>
</x:worksheet>
</file>

<file path=xl/worksheets/sheet2.xml><?xml version="1.0" encoding="utf-8"?>
<x:worksheet xmlns:x="http://schemas.openxmlformats.org/spreadsheetml/2006/main">
  <x:sheetPr>
    <x:tabColor rgb="FF31587A"/>
  </x:sheetPr>
  <x:sheetViews>
    <x:sheetView showGridLines="0" workbookViewId="0">
      <x:pane xSplit="4" ySplit="6" topLeftCell="E7" activePane="bottomRight" state="frozen"/>
    </x:sheetView>
  </x:sheetViews>
  <x:sheetFormatPr defaultRowHeight="15"/>
  <x:cols>
    <x:col min="1" max="1" width="2" hidden="0" customWidth="1"/>
    <x:col min="2" max="2" width="2" hidden="0" customWidth="1"/>
    <x:col min="3" max="3" width="34" hidden="0" customWidth="1"/>
    <x:col min="4" max="4" width="13" hidden="0" customWidth="1"/>
    <x:col min="5" max="5" width="21" hidden="0" customWidth="1"/>
    <x:col min="6" max="6" width="23" hidden="0" customWidth="1"/>
    <x:col min="7" max="7" width="21" hidden="0" customWidth="1"/>
    <x:col min="8" max="8" width="23" hidden="0" customWidth="1"/>
    <x:col min="9" max="9" width="22" hidden="0" customWidth="1"/>
  </x:cols>
  <x:sheetData>
    <x:row r="1" ht="24" customHeight="1">
      <x:c r="A1" s="2"/>
      <x:c r="B1" s="2"/>
      <x:c r="C1" s="2"/>
      <x:c r="D1" s="2"/>
      <x:c r="E1" s="2"/>
      <x:c r="F1" s="2"/>
      <x:c r="G1" s="2"/>
      <x:c r="H1" s="2"/>
      <x:c r="I1" s="2"/>
    </x:row>
    <x:row r="2" ht="24" customHeight="1">
      <x:c r="A2" s="2"/>
      <x:c r="B2" s="2"/>
      <x:c r="C2" s="3" t="str">
        <x:v>고객의 작업당 비용과 투자 회수</x:v>
      </x:c>
      <x:c r="D2" s="3"/>
      <x:c r="E2" s="3"/>
      <x:c r="F2" s="3"/>
      <x:c r="G2" s="3"/>
      <x:c r="H2" s="3"/>
      <x:c r="I2" s="3"/>
    </x:row>
    <x:row r="3" ht="24" customHeight="1">
      <x:c r="A3" s="2"/>
      <x:c r="B3" s="2"/>
      <x:c r="C3" s="2"/>
      <x:c r="D3" s="2"/>
      <x:c r="E3" s="2"/>
      <x:c r="F3" s="2"/>
      <x:c r="G3" s="2"/>
      <x:c r="H3" s="2"/>
      <x:c r="I3" s="2"/>
    </x:row>
    <x:row r="4" ht="24" customHeight="1">
      <x:c r="A4" s="2"/>
      <x:c r="B4" s="2"/>
      <x:c r="C4" s="4" t="str">
        <x:v>BLS 임금 외 가격·성능·운영 조건은 가정. 제조·물류·가정의 작업 단위는 서로 다릅니다.</x:v>
      </x:c>
      <x:c r="D4" s="2"/>
      <x:c r="E4" s="2"/>
      <x:c r="F4" s="2"/>
      <x:c r="G4" s="2"/>
      <x:c r="H4" s="2"/>
      <x:c r="I4" s="2"/>
    </x:row>
    <x:row r="5" ht="24" customHeight="1">
      <x:c r="A5" s="2"/>
      <x:c r="B5" s="2"/>
      <x:c r="C5" s="2"/>
      <x:c r="D5" s="2"/>
      <x:c r="E5" s="2"/>
      <x:c r="F5" s="2"/>
      <x:c r="G5" s="2"/>
      <x:c r="H5" s="2"/>
      <x:c r="I5" s="2"/>
    </x:row>
    <x:row r="6" ht="34" customHeight="1">
      <x:c r="A6" s="2"/>
      <x:c r="B6" s="2"/>
      <x:c r="C6" s="8" t="str">
        <x:v>주요 결과</x:v>
      </x:c>
      <x:c r="D6" s="8" t="str">
        <x:v>단위</x:v>
      </x:c>
      <x:c r="E6" s="8" t="str">
        <x:v>제조 휴머노이드</x:v>
      </x:c>
      <x:c r="F6" s="8" t="str">
        <x:v>제조 협동로봇+AMR</x:v>
      </x:c>
      <x:c r="G6" s="8" t="str">
        <x:v>물류 휴머노이드</x:v>
      </x:c>
      <x:c r="H6" s="8" t="str">
        <x:v>물류 전용 이송설비</x:v>
      </x:c>
      <x:c r="I6" s="8" t="str">
        <x:v>가정용 복합 작업</x:v>
      </x:c>
    </x:row>
    <x:row r="7" ht="24" customHeight="1">
      <x:c r="A7" s="2"/>
      <x:c r="B7" s="2"/>
      <x:c r="C7" s="12" t="str">
        <x:v>할인 자본비용 포함 작업당 비용</x:v>
      </x:c>
      <x:c r="D7" s="12" t="str">
        <x:v>USD/건</x:v>
      </x:c>
      <x:c r="E7" s="13" t="n">
        <x:f>E73</x:f>
        <x:v>0.28145557169449775</x:v>
      </x:c>
      <x:c r="F7" s="13" t="n">
        <x:f>F73</x:f>
        <x:v>0.2793067761784953</x:v>
      </x:c>
      <x:c r="G7" s="13" t="n">
        <x:f>G73</x:f>
        <x:v>0.20255063489380337</x:v>
      </x:c>
      <x:c r="H7" s="13" t="n">
        <x:f>H73</x:f>
        <x:v>0.2465951556888406</x:v>
      </x:c>
      <x:c r="I7" s="13" t="n">
        <x:f>I73</x:f>
        <x:v>9.362390829434041</x:v>
      </x:c>
    </x:row>
    <x:row r="8" ht="24" customHeight="1">
      <x:c r="A8" s="2"/>
      <x:c r="B8" s="2"/>
      <x:c r="C8" s="2" t="str">
        <x:v>동일 작업 사람 비용</x:v>
      </x:c>
      <x:c r="D8" s="2" t="str">
        <x:v>USD/건</x:v>
      </x:c>
      <x:c r="E8" s="11" t="n">
        <x:f>E74</x:f>
        <x:v>0.5478782802903406</x:v>
      </x:c>
      <x:c r="F8" s="11" t="n">
        <x:f>F74</x:f>
        <x:v>0.5478782802903406</x:v>
      </x:c>
      <x:c r="G8" s="11" t="n">
        <x:f>G74</x:f>
        <x:v>0.3200567802271209</x:v>
      </x:c>
      <x:c r="H8" s="11" t="n">
        <x:f>H74</x:f>
        <x:v>0.3200567802271209</x:v>
      </x:c>
      <x:c r="I8" s="11" t="n">
        <x:f>I74</x:f>
        <x:v>3.9949494949494953</x:v>
      </x:c>
    </x:row>
    <x:row r="9" ht="24" customHeight="1">
      <x:c r="A9" s="2"/>
      <x:c r="B9" s="2"/>
      <x:c r="C9" s="12" t="str">
        <x:v>연 유효 작업량</x:v>
      </x:c>
      <x:c r="D9" s="12" t="str">
        <x:v>건</x:v>
      </x:c>
      <x:c r="E9" s="16" t="n">
        <x:f>E57</x:f>
        <x:v>150000</x:v>
      </x:c>
      <x:c r="F9" s="16" t="n">
        <x:f>F57</x:f>
        <x:v>150000</x:v>
      </x:c>
      <x:c r="G9" s="16" t="n">
        <x:f>G57</x:f>
        <x:v>300000</x:v>
      </x:c>
      <x:c r="H9" s="16" t="n">
        <x:f>H57</x:f>
        <x:v>300000</x:v>
      </x:c>
      <x:c r="I9" s="16" t="n">
        <x:f>I57</x:f>
        <x:v>1500</x:v>
      </x:c>
    </x:row>
    <x:row r="10" ht="24" customHeight="1">
      <x:c r="A10" s="2"/>
      <x:c r="B10" s="2"/>
      <x:c r="C10" s="2" t="str">
        <x:v>미충족 수요</x:v>
      </x:c>
      <x:c r="D10" s="2" t="str">
        <x:v>건</x:v>
      </x:c>
      <x:c r="E10" s="15" t="n">
        <x:f>E58</x:f>
        <x:v>0</x:v>
      </x:c>
      <x:c r="F10" s="15" t="n">
        <x:f>F58</x:f>
        <x:v>0</x:v>
      </x:c>
      <x:c r="G10" s="15" t="n">
        <x:f>G58</x:f>
        <x:v>0</x:v>
      </x:c>
      <x:c r="H10" s="15" t="n">
        <x:f>H58</x:f>
        <x:v>0</x:v>
      </x:c>
      <x:c r="I10" s="15" t="n">
        <x:f>I58</x:f>
        <x:v>0</x:v>
      </x:c>
    </x:row>
    <x:row r="11" ht="24" customHeight="1">
      <x:c r="A11" s="2"/>
      <x:c r="B11" s="2"/>
      <x:c r="C11" s="12" t="str">
        <x:v>연 순현금 절감</x:v>
      </x:c>
      <x:c r="D11" s="12" t="str">
        <x:v>USD</x:v>
      </x:c>
      <x:c r="E11" s="19" t="n">
        <x:f>E71</x:f>
        <x:v>33622.58244168689</x:v>
      </x:c>
      <x:c r="F11" s="19" t="n">
        <x:f>F71</x:f>
        <x:v>44387.97296179485</x:v>
      </x:c>
      <x:c r="G11" s="19" t="n">
        <x:f>G71</x:f>
        <x:v>45541.257586278094</x:v>
      </x:c>
      <x:c r="H11" s="19" t="n">
        <x:f>H71</x:f>
        <x:v>51658.69901261029</x:v>
      </x:c>
      <x:c r="I11" s="19" t="n">
        <x:f>I71</x:f>
        <x:v>-6741.935606060605</x:v>
      </x:c>
    </x:row>
    <x:row r="12" ht="24" customHeight="1">
      <x:c r="A12" s="2"/>
      <x:c r="B12" s="2"/>
      <x:c r="C12" s="2" t="str">
        <x:v>단순 투자 회수</x:v>
      </x:c>
      <x:c r="D12" s="2" t="str">
        <x:v>년</x:v>
      </x:c>
      <x:c r="E12" s="21" t="n">
        <x:f>E75</x:f>
        <x:v>2.528062802654115</x:v>
      </x:c>
      <x:c r="F12" s="21" t="n">
        <x:f>F75</x:f>
        <x:v>3.1540075083063455</x:v>
      </x:c>
      <x:c r="G12" s="21" t="n">
        <x:f>G75</x:f>
        <x:v>2.854554460945978</x:v>
      </x:c>
      <x:c r="H12" s="21" t="n">
        <x:f>H75</x:f>
        <x:v>5.8073471793543945</x:v>
      </x:c>
      <x:c r="I12" s="21" t="str">
        <x:f>I75</x:f>
        <x:v>회수불가</x:v>
      </x:c>
    </x:row>
    <x:row r="13" ht="24" customHeight="1">
      <x:c r="A13" s="2"/>
      <x:c r="B13" s="2"/>
      <x:c r="C13" s="12" t="str">
        <x:v>내용연수 전체 NPV</x:v>
      </x:c>
      <x:c r="D13" s="12" t="str">
        <x:v>USD</x:v>
      </x:c>
      <x:c r="E13" s="19" t="n">
        <x:f>E76</x:f>
        <x:v>42456.04067329154</x:v>
      </x:c>
      <x:c r="F13" s="19" t="n">
        <x:f>F76</x:f>
        <x:v>76099.24284644725</x:v>
      </x:c>
      <x:c r="G13" s="19" t="n">
        <x:f>G76</x:f>
        <x:v>42637.196720285225</x:v>
      </x:c>
      <x:c r="H13" s="19" t="n">
        <x:f>H76</x:f>
        <x:v>17420.342676384316</x:v>
      </x:c>
      <x:c r="I13" s="19" t="n">
        <x:f>I76</x:f>
        <x:v>-47557.24029565828</x:v>
      </x:c>
    </x:row>
    <x:row r="14" ht="24" customHeight="1">
      <x:c r="A14" s="2"/>
      <x:c r="B14" s="2"/>
      <x:c r="C14" s="2" t="str">
        <x:v>3년 회수에 필요한 절감 실현율</x:v>
      </x:c>
      <x:c r="D14" s="2" t="str">
        <x:v>%</x:v>
      </x:c>
      <x:c r="E14" s="23" t="n">
        <x:f>E78</x:f>
        <x:v>0.5856396083019194</x:v>
      </x:c>
      <x:c r="F14" s="23" t="n">
        <x:f>F78</x:f>
        <x:v>0.7277274933362237</x:v>
      </x:c>
      <x:c r="G14" s="23" t="n">
        <x:f>G78</x:f>
        <x:v>0.7270048692466595</x:v>
      </x:c>
      <x:c r="H14" s="23" t="n">
        <x:f>H78</x:f>
        <x:v>1.3034658845334195</x:v>
      </x:c>
      <x:c r="I14" s="23" t="n">
        <x:f>I78</x:f>
        <x:v>2.5988438685208592</x:v>
      </x:c>
    </x:row>
    <x:row r="15" ht="24" customHeight="1">
      <x:c r="A15" s="2"/>
      <x:c r="B15" s="2"/>
      <x:c r="C15" s="12" t="str">
        <x:v>3년 회수 가능한 로봇 가격 상한</x:v>
      </x:c>
      <x:c r="D15" s="12" t="str">
        <x:v>USD</x:v>
      </x:c>
      <x:c r="E15" s="19" t="n">
        <x:f>E79</x:f>
        <x:v>75867.74732506069</x:v>
      </x:c>
      <x:c r="F15" s="19" t="n">
        <x:f>F79</x:f>
        <x:v>93163.91888538454</x:v>
      </x:c>
      <x:c r="G15" s="19" t="n">
        <x:f>G79</x:f>
        <x:v>96623.7727588343</x:v>
      </x:c>
      <x:c r="H15" s="19" t="n">
        <x:f>H79</x:f>
        <x:v>64976.097037830856</x:v>
      </x:c>
      <x:c r="I15" s="19" t="n">
        <x:f>I79</x:f>
        <x:v>0</x:v>
      </x:c>
    </x:row>
    <x:row r="16" ht="24" customHeight="1">
      <x:c r="A16" s="2"/>
      <x:c r="B16" s="2"/>
      <x:c r="C16" s="2" t="str">
        <x:v>감가상각 기준 작업당 비용</x:v>
      </x:c>
      <x:c r="D16" s="2" t="str">
        <x:v>USD/건</x:v>
      </x:c>
      <x:c r="E16" s="11" t="n">
        <x:f>E72</x:f>
        <x:v>0.24530366591080877</x:v>
      </x:c>
      <x:c r="F16" s="11" t="n">
        <x:f>F72</x:f>
        <x:v>0.22092830979127273</x:v>
      </x:c>
      <x:c r="G16" s="11" t="n">
        <x:f>G72</x:f>
        <x:v>0.17490505988274707</x:v>
      </x:c>
      <x:c r="H16" s="11" t="n">
        <x:f>H72</x:f>
        <x:v>0.1838497608063291</x:v>
      </x:c>
      <x:c r="I16" s="11" t="n">
        <x:f>I72</x:f>
        <x:v>8.426694444444443</x:v>
      </x:c>
    </x:row>
    <x:row r="17" ht="24" customHeight="1">
      <x:c r="A17" s="2"/>
      <x:c r="B17" s="2"/>
      <x:c r="C17" s="2"/>
      <x:c r="D17" s="2"/>
      <x:c r="E17" s="2"/>
      <x:c r="F17" s="2"/>
      <x:c r="G17" s="2"/>
      <x:c r="H17" s="2"/>
      <x:c r="I17" s="2"/>
    </x:row>
    <x:row r="18" ht="24" customHeight="1">
      <x:c r="A18" s="2"/>
      <x:c r="B18" s="2"/>
      <x:c r="C18" s="2"/>
      <x:c r="D18" s="2"/>
      <x:c r="E18" s="2"/>
      <x:c r="F18" s="2"/>
      <x:c r="G18" s="2"/>
      <x:c r="H18" s="2"/>
      <x:c r="I18" s="2"/>
    </x:row>
    <x:row r="19" ht="24" customHeight="1">
      <x:c r="A19" s="2"/>
      <x:c r="B19" s="2"/>
      <x:c r="C19" s="4" t="str">
        <x:v>가동률에는 고장·대기·개입 중단을 포함. 개입 시간은 인건비에만 추가하여 중단을 이중 차감하지 않습니다.</x:v>
      </x:c>
      <x:c r="D19" s="2"/>
      <x:c r="E19" s="2"/>
      <x:c r="F19" s="2"/>
      <x:c r="G19" s="2"/>
      <x:c r="H19" s="2"/>
      <x:c r="I19" s="2"/>
    </x:row>
    <x:row r="20" ht="24" customHeight="1">
      <x:c r="A20" s="2"/>
      <x:c r="B20" s="2"/>
      <x:c r="C20" s="4" t="str">
        <x:v>회수기간은 현금 절감, NPV는 할인 현금흐름, 작업당 비용은 감가상각 및 등가 연간 자본비용을 각각 사용합니다.</x:v>
      </x:c>
      <x:c r="D20" s="2"/>
      <x:c r="E20" s="2"/>
      <x:c r="F20" s="2"/>
      <x:c r="G20" s="2"/>
      <x:c r="H20" s="2"/>
      <x:c r="I20" s="2"/>
    </x:row>
    <x:row r="21" ht="24" customHeight="1">
      <x:c r="A21" s="2"/>
      <x:c r="B21" s="2"/>
      <x:c r="C21" s="2"/>
      <x:c r="D21" s="2"/>
      <x:c r="E21" s="2"/>
      <x:c r="F21" s="2"/>
      <x:c r="G21" s="2"/>
      <x:c r="H21" s="2"/>
      <x:c r="I21" s="2"/>
    </x:row>
    <x:row r="22" ht="24" customHeight="1">
      <x:c r="A22" s="2"/>
      <x:c r="B22" s="2"/>
      <x:c r="C22" s="2"/>
      <x:c r="D22" s="2"/>
      <x:c r="E22" s="2"/>
      <x:c r="F22" s="2"/>
      <x:c r="G22" s="2"/>
      <x:c r="H22" s="2"/>
      <x:c r="I22" s="2"/>
    </x:row>
    <x:row r="23" ht="24" customHeight="1">
      <x:c r="A23" s="2"/>
      <x:c r="B23" s="2"/>
      <x:c r="C23" s="2"/>
      <x:c r="D23" s="2"/>
      <x:c r="E23" s="2"/>
      <x:c r="F23" s="2"/>
      <x:c r="G23" s="2"/>
      <x:c r="H23" s="2"/>
      <x:c r="I23" s="2"/>
    </x:row>
    <x:row r="24" ht="34" customHeight="1">
      <x:c r="A24" s="2"/>
      <x:c r="B24" s="2"/>
      <x:c r="C24" s="8" t="str">
        <x:v>입력 조건</x:v>
      </x:c>
      <x:c r="D24" s="8" t="str">
        <x:v>단위</x:v>
      </x:c>
      <x:c r="E24" s="8" t="str">
        <x:v>제조 휴머노이드</x:v>
      </x:c>
      <x:c r="F24" s="8" t="str">
        <x:v>제조 협동로봇+AMR</x:v>
      </x:c>
      <x:c r="G24" s="8" t="str">
        <x:v>물류 휴머노이드</x:v>
      </x:c>
      <x:c r="H24" s="8" t="str">
        <x:v>물류 전용 이송설비</x:v>
      </x:c>
      <x:c r="I24" s="8" t="str">
        <x:v>가정용 복합 작업</x:v>
      </x:c>
    </x:row>
    <x:row r="25" ht="24" customHeight="1">
      <x:c r="A25" s="2"/>
      <x:c r="B25" s="2"/>
      <x:c r="C25" s="2" t="str">
        <x:v>로봇·설비 취득가격</x:v>
      </x:c>
      <x:c r="D25" s="2" t="str">
        <x:v>USD</x:v>
      </x:c>
      <x:c r="E25" s="27" t="n">
        <x:v>60000</x:v>
      </x:c>
      <x:c r="F25" s="27" t="n">
        <x:v>100000</x:v>
      </x:c>
      <x:c r="G25" s="27" t="n">
        <x:v>90000</x:v>
      </x:c>
      <x:c r="H25" s="27" t="n">
        <x:v>210000</x:v>
      </x:c>
      <x:c r="I25" s="27" t="n">
        <x:v>20000</x:v>
      </x:c>
    </x:row>
    <x:row r="26" ht="24" customHeight="1">
      <x:c r="A26" s="2"/>
      <x:c r="B26" s="2"/>
      <x:c r="C26" s="2" t="str">
        <x:v>초기 현장 통합비</x:v>
      </x:c>
      <x:c r="D26" s="2" t="str">
        <x:v>USD</x:v>
      </x:c>
      <x:c r="E26" s="27" t="n">
        <x:v>25000</x:v>
      </x:c>
      <x:c r="F26" s="27" t="n">
        <x:v>40000</x:v>
      </x:c>
      <x:c r="G26" s="27" t="n">
        <x:v>40000</x:v>
      </x:c>
      <x:c r="H26" s="27" t="n">
        <x:v>90000</x:v>
      </x:c>
      <x:c r="I26" s="27" t="n">
        <x:v>2000</x:v>
      </x:c>
    </x:row>
    <x:row r="27" ht="24" customHeight="1">
      <x:c r="A27" s="2"/>
      <x:c r="B27" s="2"/>
      <x:c r="C27" s="2" t="str">
        <x:v>내용연수</x:v>
      </x:c>
      <x:c r="D27" s="2" t="str">
        <x:v>년</x:v>
      </x:c>
      <x:c r="E27" s="29" t="n">
        <x:v>5</x:v>
      </x:c>
      <x:c r="F27" s="29" t="n">
        <x:v>7</x:v>
      </x:c>
      <x:c r="G27" s="29" t="n">
        <x:v>5</x:v>
      </x:c>
      <x:c r="H27" s="29" t="n">
        <x:v>10</x:v>
      </x:c>
      <x:c r="I27" s="29" t="n">
        <x:v>5</x:v>
      </x:c>
    </x:row>
    <x:row r="28" ht="24" customHeight="1">
      <x:c r="A28" s="2"/>
      <x:c r="B28" s="2"/>
      <x:c r="C28" s="2" t="str">
        <x:v>종료 시 잔존가치</x:v>
      </x:c>
      <x:c r="D28" s="2" t="str">
        <x:v>USD</x:v>
      </x:c>
      <x:c r="E28" s="27" t="n">
        <x:v>0</x:v>
      </x:c>
      <x:c r="F28" s="27" t="n">
        <x:v>0</x:v>
      </x:c>
      <x:c r="G28" s="27" t="n">
        <x:v>0</x:v>
      </x:c>
      <x:c r="H28" s="27" t="n">
        <x:v>0</x:v>
      </x:c>
      <x:c r="I28" s="27" t="n">
        <x:v>0</x:v>
      </x:c>
    </x:row>
    <x:row r="29" ht="24" customHeight="1">
      <x:c r="A29" s="2"/>
      <x:c r="B29" s="2"/>
      <x:c r="C29" s="2" t="str">
        <x:v>연 할인율</x:v>
      </x:c>
      <x:c r="D29" s="2" t="str">
        <x:v>%</x:v>
      </x:c>
      <x:c r="E29" s="31" t="n">
        <x:v>0.1</x:v>
      </x:c>
      <x:c r="F29" s="31" t="n">
        <x:v>0.1</x:v>
      </x:c>
      <x:c r="G29" s="31" t="n">
        <x:v>0.1</x:v>
      </x:c>
      <x:c r="H29" s="31" t="n">
        <x:v>0.1</x:v>
      </x:c>
      <x:c r="I29" s="31" t="n">
        <x:v>0.1</x:v>
      </x:c>
    </x:row>
    <x:row r="30" ht="24" customHeight="1">
      <x:c r="A30" s="2"/>
      <x:c r="B30" s="2"/>
      <x:c r="C30" s="2" t="str">
        <x:v>연 예정 운영시간</x:v>
      </x:c>
      <x:c r="D30" s="2" t="str">
        <x:v>시간</x:v>
      </x:c>
      <x:c r="E30" s="29" t="n">
        <x:v>4000</x:v>
      </x:c>
      <x:c r="F30" s="29" t="n">
        <x:v>4000</x:v>
      </x:c>
      <x:c r="G30" s="29" t="n">
        <x:v>5000</x:v>
      </x:c>
      <x:c r="H30" s="29" t="n">
        <x:v>5000</x:v>
      </x:c>
      <x:c r="I30" s="29" t="n">
        <x:v>2000</x:v>
      </x:c>
    </x:row>
    <x:row r="31" ht="24" customHeight="1">
      <x:c r="A31" s="2"/>
      <x:c r="B31" s="2"/>
      <x:c r="C31" s="2" t="str">
        <x:v>가동률</x:v>
      </x:c>
      <x:c r="D31" s="2" t="str">
        <x:v>%</x:v>
      </x:c>
      <x:c r="E31" s="31" t="n">
        <x:v>0.82</x:v>
      </x:c>
      <x:c r="F31" s="31" t="n">
        <x:v>0.92</x:v>
      </x:c>
      <x:c r="G31" s="31" t="n">
        <x:v>0.85</x:v>
      </x:c>
      <x:c r="H31" s="31" t="n">
        <x:v>0.97</x:v>
      </x:c>
      <x:c r="I31" s="31" t="n">
        <x:v>0.65</x:v>
      </x:c>
    </x:row>
    <x:row r="32" ht="24" customHeight="1">
      <x:c r="A32" s="2"/>
      <x:c r="B32" s="2"/>
      <x:c r="C32" s="2" t="str">
        <x:v>로봇 사이클</x:v>
      </x:c>
      <x:c r="D32" s="2" t="str">
        <x:v>초/건</x:v>
      </x:c>
      <x:c r="E32" s="33" t="n">
        <x:v>70</x:v>
      </x:c>
      <x:c r="F32" s="33" t="n">
        <x:v>50</x:v>
      </x:c>
      <x:c r="G32" s="33" t="n">
        <x:v>45</x:v>
      </x:c>
      <x:c r="H32" s="33" t="n">
        <x:v>10</x:v>
      </x:c>
      <x:c r="I32" s="33" t="n">
        <x:v>900</x:v>
      </x:c>
    </x:row>
    <x:row r="33" ht="24" customHeight="1">
      <x:c r="A33" s="2"/>
      <x:c r="B33" s="2"/>
      <x:c r="C33" s="2" t="str">
        <x:v>로봇 합격률</x:v>
      </x:c>
      <x:c r="D33" s="2" t="str">
        <x:v>%</x:v>
      </x:c>
      <x:c r="E33" s="36" t="n">
        <x:v>0.98</x:v>
      </x:c>
      <x:c r="F33" s="36" t="n">
        <x:v>0.999</x:v>
      </x:c>
      <x:c r="G33" s="36" t="n">
        <x:v>0.995</x:v>
      </x:c>
      <x:c r="H33" s="36" t="n">
        <x:v>0.9995</x:v>
      </x:c>
      <x:c r="I33" s="36" t="n">
        <x:v>0.9</x:v>
      </x:c>
    </x:row>
    <x:row r="34" ht="24" customHeight="1">
      <x:c r="A34" s="2"/>
      <x:c r="B34" s="2"/>
      <x:c r="C34" s="2" t="str">
        <x:v>작동 1시간당 개입</x:v>
      </x:c>
      <x:c r="D34" s="2" t="str">
        <x:v>회</x:v>
      </x:c>
      <x:c r="E34" s="33" t="n">
        <x:v>0.4</x:v>
      </x:c>
      <x:c r="F34" s="33" t="n">
        <x:v>0.1</x:v>
      </x:c>
      <x:c r="G34" s="33" t="n">
        <x:v>0.25</x:v>
      </x:c>
      <x:c r="H34" s="33" t="n">
        <x:v>0.05</x:v>
      </x:c>
      <x:c r="I34" s="33" t="n">
        <x:v>3</x:v>
      </x:c>
    </x:row>
    <x:row r="35" ht="24" customHeight="1">
      <x:c r="A35" s="2"/>
      <x:c r="B35" s="2"/>
      <x:c r="C35" s="2" t="str">
        <x:v>개입 1회 소요시간</x:v>
      </x:c>
      <x:c r="D35" s="2" t="str">
        <x:v>분</x:v>
      </x:c>
      <x:c r="E35" s="33" t="n">
        <x:v>2</x:v>
      </x:c>
      <x:c r="F35" s="33" t="n">
        <x:v>1</x:v>
      </x:c>
      <x:c r="G35" s="33" t="n">
        <x:v>1.5</x:v>
      </x:c>
      <x:c r="H35" s="33" t="n">
        <x:v>0.5</x:v>
      </x:c>
      <x:c r="I35" s="33" t="n">
        <x:v>5</x:v>
      </x:c>
    </x:row>
    <x:row r="36" ht="24" customHeight="1">
      <x:c r="A36" s="2"/>
      <x:c r="B36" s="2"/>
      <x:c r="C36" s="2" t="str">
        <x:v>개입·감독 인력 완전부담 시급</x:v>
      </x:c>
      <x:c r="D36" s="2" t="str">
        <x:v>USD/시간</x:v>
      </x:c>
      <x:c r="E36" s="35" t="n">
        <x:v>39.25</x:v>
      </x:c>
      <x:c r="F36" s="35" t="n">
        <x:v>39.25</x:v>
      </x:c>
      <x:c r="G36" s="35" t="n">
        <x:v>38.33</x:v>
      </x:c>
      <x:c r="H36" s="35" t="n">
        <x:v>38.33</x:v>
      </x:c>
      <x:c r="I36" s="35" t="n">
        <x:v>23.73</x:v>
      </x:c>
    </x:row>
    <x:row r="37" ht="24" customHeight="1">
      <x:c r="A37" s="2"/>
      <x:c r="B37" s="2"/>
      <x:c r="C37" s="2" t="str">
        <x:v>연 별도 현장 감독 시간</x:v>
      </x:c>
      <x:c r="D37" s="2" t="str">
        <x:v>시간</x:v>
      </x:c>
      <x:c r="E37" s="29" t="n">
        <x:v>50</x:v>
      </x:c>
      <x:c r="F37" s="29" t="n">
        <x:v>30</x:v>
      </x:c>
      <x:c r="G37" s="29" t="n">
        <x:v>60</x:v>
      </x:c>
      <x:c r="H37" s="29" t="n">
        <x:v>50</x:v>
      </x:c>
      <x:c r="I37" s="29" t="n">
        <x:v>50</x:v>
      </x:c>
    </x:row>
    <x:row r="38" ht="24" customHeight="1">
      <x:c r="A38" s="2"/>
      <x:c r="B38" s="2"/>
      <x:c r="C38" s="2" t="str">
        <x:v>연 유지보수</x:v>
      </x:c>
      <x:c r="D38" s="2" t="str">
        <x:v>USD</x:v>
      </x:c>
      <x:c r="E38" s="27" t="n">
        <x:v>6000</x:v>
      </x:c>
      <x:c r="F38" s="27" t="n">
        <x:v>7000</x:v>
      </x:c>
      <x:c r="G38" s="27" t="n">
        <x:v>12000</x:v>
      </x:c>
      <x:c r="H38" s="27" t="n">
        <x:v>15000</x:v>
      </x:c>
      <x:c r="I38" s="27" t="n">
        <x:v>1200</x:v>
      </x:c>
    </x:row>
    <x:row r="39" ht="24" customHeight="1">
      <x:c r="A39" s="2"/>
      <x:c r="B39" s="2"/>
      <x:c r="C39" s="2" t="str">
        <x:v>연 소프트웨어</x:v>
      </x:c>
      <x:c r="D39" s="2" t="str">
        <x:v>USD</x:v>
      </x:c>
      <x:c r="E39" s="27" t="n">
        <x:v>4000</x:v>
      </x:c>
      <x:c r="F39" s="27" t="n">
        <x:v>2000</x:v>
      </x:c>
      <x:c r="G39" s="27" t="n">
        <x:v>6000</x:v>
      </x:c>
      <x:c r="H39" s="27" t="n">
        <x:v>4000</x:v>
      </x:c>
      <x:c r="I39" s="27" t="n">
        <x:v>2400</x:v>
      </x:c>
    </x:row>
    <x:row r="40" ht="24" customHeight="1">
      <x:c r="A40" s="2"/>
      <x:c r="B40" s="2"/>
      <x:c r="C40" s="2" t="str">
        <x:v>연 클라우드·통신</x:v>
      </x:c>
      <x:c r="D40" s="2" t="str">
        <x:v>USD</x:v>
      </x:c>
      <x:c r="E40" s="27" t="n">
        <x:v>1000</x:v>
      </x:c>
      <x:c r="F40" s="27" t="n">
        <x:v>500</x:v>
      </x:c>
      <x:c r="G40" s="27" t="n">
        <x:v>2000</x:v>
      </x:c>
      <x:c r="H40" s="27" t="n">
        <x:v>0</x:v>
      </x:c>
      <x:c r="I40" s="27" t="n">
        <x:v>300</x:v>
      </x:c>
    </x:row>
    <x:row r="41" ht="24" customHeight="1">
      <x:c r="A41" s="2"/>
      <x:c r="B41" s="2"/>
      <x:c r="C41" s="2" t="str">
        <x:v>연 보험</x:v>
      </x:c>
      <x:c r="D41" s="2" t="str">
        <x:v>USD</x:v>
      </x:c>
      <x:c r="E41" s="27" t="n">
        <x:v>1200</x:v>
      </x:c>
      <x:c r="F41" s="27" t="n">
        <x:v>1000</x:v>
      </x:c>
      <x:c r="G41" s="27" t="n">
        <x:v>1500</x:v>
      </x:c>
      <x:c r="H41" s="27" t="n">
        <x:v>2000</x:v>
      </x:c>
      <x:c r="I41" s="27" t="n">
        <x:v>300</x:v>
      </x:c>
    </x:row>
    <x:row r="42" ht="24" customHeight="1">
      <x:c r="A42" s="2"/>
      <x:c r="B42" s="2"/>
      <x:c r="C42" s="2" t="str">
        <x:v>연 소모품</x:v>
      </x:c>
      <x:c r="D42" s="2" t="str">
        <x:v>USD</x:v>
      </x:c>
      <x:c r="E42" s="27" t="n">
        <x:v>800</x:v>
      </x:c>
      <x:c r="F42" s="27" t="n">
        <x:v>1000</x:v>
      </x:c>
      <x:c r="G42" s="27" t="n">
        <x:v>1000</x:v>
      </x:c>
      <x:c r="H42" s="27" t="n">
        <x:v>2000</x:v>
      </x:c>
      <x:c r="I42" s="27" t="n">
        <x:v>200</x:v>
      </x:c>
    </x:row>
    <x:row r="43" ht="24" customHeight="1">
      <x:c r="A43" s="2"/>
      <x:c r="B43" s="2"/>
      <x:c r="C43" s="2" t="str">
        <x:v>작동 시 평균 전력</x:v>
      </x:c>
      <x:c r="D43" s="2" t="str">
        <x:v>kW</x:v>
      </x:c>
      <x:c r="E43" s="33" t="n">
        <x:v>0.6</x:v>
      </x:c>
      <x:c r="F43" s="33" t="n">
        <x:v>1</x:v>
      </x:c>
      <x:c r="G43" s="33" t="n">
        <x:v>0.7</x:v>
      </x:c>
      <x:c r="H43" s="33" t="n">
        <x:v>1.8</x:v>
      </x:c>
      <x:c r="I43" s="33" t="n">
        <x:v>0.3</x:v>
      </x:c>
    </x:row>
    <x:row r="44" ht="24" customHeight="1">
      <x:c r="A44" s="2"/>
      <x:c r="B44" s="2"/>
      <x:c r="C44" s="2" t="str">
        <x:v>전력 단가</x:v>
      </x:c>
      <x:c r="D44" s="2" t="str">
        <x:v>USD/kWh</x:v>
      </x:c>
      <x:c r="E44" s="35" t="n">
        <x:v>0.12</x:v>
      </x:c>
      <x:c r="F44" s="35" t="n">
        <x:v>0.12</x:v>
      </x:c>
      <x:c r="G44" s="35" t="n">
        <x:v>0.12</x:v>
      </x:c>
      <x:c r="H44" s="35" t="n">
        <x:v>0.12</x:v>
      </x:c>
      <x:c r="I44" s="35" t="n">
        <x:v>0.12</x:v>
      </x:c>
    </x:row>
    <x:row r="45" ht="24" customHeight="1">
      <x:c r="A45" s="2"/>
      <x:c r="B45" s="2"/>
      <x:c r="C45" s="2" t="str">
        <x:v>불합격 1건 재작업 비용</x:v>
      </x:c>
      <x:c r="D45" s="2" t="str">
        <x:v>USD/건</x:v>
      </x:c>
      <x:c r="E45" s="35" t="n">
        <x:v>1</x:v>
      </x:c>
      <x:c r="F45" s="35" t="n">
        <x:v>0.5</x:v>
      </x:c>
      <x:c r="G45" s="35" t="n">
        <x:v>0.3</x:v>
      </x:c>
      <x:c r="H45" s="35" t="n">
        <x:v>0.3</x:v>
      </x:c>
      <x:c r="I45" s="35" t="n">
        <x:v>1</x:v>
      </x:c>
    </x:row>
    <x:row r="46" ht="24" customHeight="1">
      <x:c r="A46" s="2"/>
      <x:c r="B46" s="2"/>
      <x:c r="C46" s="2" t="str">
        <x:v>동일 작업 사람 사이클</x:v>
      </x:c>
      <x:c r="D46" s="2" t="str">
        <x:v>초/건</x:v>
      </x:c>
      <x:c r="E46" s="33" t="n">
        <x:v>50</x:v>
      </x:c>
      <x:c r="F46" s="33" t="n">
        <x:v>50</x:v>
      </x:c>
      <x:c r="G46" s="33" t="n">
        <x:v>30</x:v>
      </x:c>
      <x:c r="H46" s="33" t="n">
        <x:v>30</x:v>
      </x:c>
      <x:c r="I46" s="33" t="n">
        <x:v>600</x:v>
      </x:c>
    </x:row>
    <x:row r="47" ht="24" customHeight="1">
      <x:c r="A47" s="2"/>
      <x:c r="B47" s="2"/>
      <x:c r="C47" s="2" t="str">
        <x:v>사람 합격률</x:v>
      </x:c>
      <x:c r="D47" s="2" t="str">
        <x:v>%</x:v>
      </x:c>
      <x:c r="E47" s="36" t="n">
        <x:v>0.995</x:v>
      </x:c>
      <x:c r="F47" s="36" t="n">
        <x:v>0.995</x:v>
      </x:c>
      <x:c r="G47" s="36" t="n">
        <x:v>0.998</x:v>
      </x:c>
      <x:c r="H47" s="36" t="n">
        <x:v>0.998</x:v>
      </x:c>
      <x:c r="I47" s="36" t="n">
        <x:v>0.99</x:v>
      </x:c>
    </x:row>
    <x:row r="48" ht="24" customHeight="1">
      <x:c r="A48" s="2"/>
      <x:c r="B48" s="2"/>
      <x:c r="C48" s="2" t="str">
        <x:v>사람 완전부담 시급</x:v>
      </x:c>
      <x:c r="D48" s="2" t="str">
        <x:v>USD/시간</x:v>
      </x:c>
      <x:c r="E48" s="35" t="n">
        <x:v>39.25</x:v>
      </x:c>
      <x:c r="F48" s="35" t="n">
        <x:v>39.25</x:v>
      </x:c>
      <x:c r="G48" s="35" t="n">
        <x:v>38.33</x:v>
      </x:c>
      <x:c r="H48" s="35" t="n">
        <x:v>38.33</x:v>
      </x:c>
      <x:c r="I48" s="35" t="n">
        <x:v>23.73</x:v>
      </x:c>
    </x:row>
    <x:row r="49" ht="24" customHeight="1">
      <x:c r="A49" s="2"/>
      <x:c r="B49" s="2"/>
      <x:c r="C49" s="2" t="str">
        <x:v>노동비 현금절감 실현율</x:v>
      </x:c>
      <x:c r="D49" s="2" t="str">
        <x:v>%</x:v>
      </x:c>
      <x:c r="E49" s="31" t="n">
        <x:v>0.65</x:v>
      </x:c>
      <x:c r="F49" s="31" t="n">
        <x:v>0.7</x:v>
      </x:c>
      <x:c r="G49" s="31" t="n">
        <x:v>0.75</x:v>
      </x:c>
      <x:c r="H49" s="31" t="n">
        <x:v>0.8</x:v>
      </x:c>
      <x:c r="I49" s="31" t="n">
        <x:v>0.25</x:v>
      </x:c>
    </x:row>
    <x:row r="50" ht="24" customHeight="1">
      <x:c r="A50" s="2"/>
      <x:c r="B50" s="2"/>
      <x:c r="C50" s="2" t="str">
        <x:v>연 처리 수요</x:v>
      </x:c>
      <x:c r="D50" s="2" t="str">
        <x:v>건</x:v>
      </x:c>
      <x:c r="E50" s="29" t="n">
        <x:v>150000</x:v>
      </x:c>
      <x:c r="F50" s="29" t="n">
        <x:v>150000</x:v>
      </x:c>
      <x:c r="G50" s="29" t="n">
        <x:v>300000</x:v>
      </x:c>
      <x:c r="H50" s="29" t="n">
        <x:v>300000</x:v>
      </x:c>
      <x:c r="I50" s="29" t="n">
        <x:v>1500</x:v>
      </x:c>
    </x:row>
    <x:row r="51" ht="24" customHeight="1">
      <x:c r="A51" s="2"/>
      <x:c r="B51" s="2"/>
      <x:c r="C51" s="2"/>
      <x:c r="D51" s="2"/>
      <x:c r="E51" s="2"/>
      <x:c r="F51" s="2"/>
      <x:c r="G51" s="2"/>
      <x:c r="H51" s="2"/>
      <x:c r="I51" s="2"/>
    </x:row>
    <x:row r="52" ht="24" customHeight="1">
      <x:c r="A52" s="2"/>
      <x:c r="B52" s="2"/>
      <x:c r="C52" s="2" t="str">
        <x:v>입력 유효성</x:v>
      </x:c>
      <x:c r="D52" s="2"/>
      <x:c r="E52" s="9" t="str">
        <x:f>IF(COUNT(E25:E50)&lt;26,"입력 누락",IF(OR(MIN(E25:E50)&lt;0,E27=0,MOD(E27,1)&lt;&gt;0,E32=0,E33=0,E46=0,E47=0,E31&gt;1,E33&gt;1,E47&gt;1,E49&gt;1,E28&gt;SUM(E25:E26)),"입력 범위 확인","입력 유효"))</x:f>
        <x:v>입력 유효</x:v>
      </x:c>
      <x:c r="F52" s="9" t="str">
        <x:f>IF(COUNT(F25:F50)&lt;26,"입력 누락",IF(OR(MIN(F25:F50)&lt;0,F27=0,MOD(F27,1)&lt;&gt;0,F32=0,F33=0,F46=0,F47=0,F31&gt;1,F33&gt;1,F47&gt;1,F49&gt;1,F28&gt;SUM(F25:F26)),"입력 범위 확인","입력 유효"))</x:f>
        <x:v>입력 유효</x:v>
      </x:c>
      <x:c r="G52" s="9" t="str">
        <x:f>IF(COUNT(G25:G50)&lt;26,"입력 누락",IF(OR(MIN(G25:G50)&lt;0,G27=0,MOD(G27,1)&lt;&gt;0,G32=0,G33=0,G46=0,G47=0,G31&gt;1,G33&gt;1,G47&gt;1,G49&gt;1,G28&gt;SUM(G25:G26)),"입력 범위 확인","입력 유효"))</x:f>
        <x:v>입력 유효</x:v>
      </x:c>
      <x:c r="H52" s="9" t="str">
        <x:f>IF(COUNT(H25:H50)&lt;26,"입력 누락",IF(OR(MIN(H25:H50)&lt;0,H27=0,MOD(H27,1)&lt;&gt;0,H32=0,H33=0,H46=0,H47=0,H31&gt;1,H33&gt;1,H47&gt;1,H49&gt;1,H28&gt;SUM(H25:H26)),"입력 범위 확인","입력 유효"))</x:f>
        <x:v>입력 유효</x:v>
      </x:c>
      <x:c r="I52" s="9" t="str">
        <x:f>IF(COUNT(I25:I50)&lt;26,"입력 누락",IF(OR(MIN(I25:I50)&lt;0,I27=0,MOD(I27,1)&lt;&gt;0,I32=0,I33=0,I46=0,I47=0,I31&gt;1,I33&gt;1,I47&gt;1,I49&gt;1,I28&gt;SUM(I25:I26)),"입력 범위 확인","입력 유효"))</x:f>
        <x:v>입력 유효</x:v>
      </x:c>
    </x:row>
    <x:row r="53" ht="24" customHeight="1">
      <x:c r="A53" s="2"/>
      <x:c r="B53" s="2"/>
      <x:c r="C53" s="2"/>
      <x:c r="D53" s="2"/>
      <x:c r="E53" s="2"/>
      <x:c r="F53" s="2"/>
      <x:c r="G53" s="2"/>
      <x:c r="H53" s="2"/>
      <x:c r="I53" s="2"/>
    </x:row>
    <x:row r="54" ht="34" customHeight="1">
      <x:c r="A54" s="2"/>
      <x:c r="B54" s="2"/>
      <x:c r="C54" s="8" t="str">
        <x:v>계산 과정</x:v>
      </x:c>
      <x:c r="D54" s="8" t="str">
        <x:v>단위</x:v>
      </x:c>
      <x:c r="E54" s="8" t="str">
        <x:v>제조 휴머노이드</x:v>
      </x:c>
      <x:c r="F54" s="8" t="str">
        <x:v>제조 협동로봇+AMR</x:v>
      </x:c>
      <x:c r="G54" s="8" t="str">
        <x:v>물류 휴머노이드</x:v>
      </x:c>
      <x:c r="H54" s="8" t="str">
        <x:v>물류 전용 이송설비</x:v>
      </x:c>
      <x:c r="I54" s="8" t="str">
        <x:v>가정용 복합 작업</x:v>
      </x:c>
    </x:row>
    <x:row r="55" ht="24" customHeight="1">
      <x:c r="A55" s="2"/>
      <x:c r="B55" s="2"/>
      <x:c r="C55" s="2" t="str">
        <x:v>초기 투자액</x:v>
      </x:c>
      <x:c r="D55" s="2" t="str">
        <x:v>USD</x:v>
      </x:c>
      <x:c r="E55" s="18" t="n">
        <x:f>IF(E52&lt;&gt;"입력 유효","입력 확인",SUM(E25:E26))</x:f>
        <x:v>85000</x:v>
      </x:c>
      <x:c r="F55" s="18" t="n">
        <x:f>IF(F52&lt;&gt;"입력 유효","입력 확인",SUM(F25:F26))</x:f>
        <x:v>140000</x:v>
      </x:c>
      <x:c r="G55" s="18" t="n">
        <x:f>IF(G52&lt;&gt;"입력 유효","입력 확인",SUM(G25:G26))</x:f>
        <x:v>130000</x:v>
      </x:c>
      <x:c r="H55" s="18" t="n">
        <x:f>IF(H52&lt;&gt;"입력 유효","입력 확인",SUM(H25:H26))</x:f>
        <x:v>300000</x:v>
      </x:c>
      <x:c r="I55" s="18" t="n">
        <x:f>IF(I52&lt;&gt;"입력 유효","입력 확인",SUM(I25:I26))</x:f>
        <x:v>22000</x:v>
      </x:c>
    </x:row>
    <x:row r="56" ht="24" customHeight="1">
      <x:c r="A56" s="2"/>
      <x:c r="B56" s="2"/>
      <x:c r="C56" s="2" t="str">
        <x:v>연 최대 합격 작업 능력</x:v>
      </x:c>
      <x:c r="D56" s="2" t="str">
        <x:v>건</x:v>
      </x:c>
      <x:c r="E56" s="15" t="n">
        <x:f>IF(E52&lt;&gt;"입력 유효","입력 확인",E30*E31*3600/E32*E33)</x:f>
        <x:v>165312</x:v>
      </x:c>
      <x:c r="F56" s="15" t="n">
        <x:f>IF(F52&lt;&gt;"입력 유효","입력 확인",F30*F31*3600/F32*F33)</x:f>
        <x:v>264695.04</x:v>
      </x:c>
      <x:c r="G56" s="15" t="n">
        <x:f>IF(G52&lt;&gt;"입력 유효","입력 확인",G30*G31*3600/G32*G33)</x:f>
        <x:v>338300</x:v>
      </x:c>
      <x:c r="H56" s="15" t="n">
        <x:f>IF(H52&lt;&gt;"입력 유효","입력 확인",H30*H31*3600/H32*H33)</x:f>
        <x:v>1745127</x:v>
      </x:c>
      <x:c r="I56" s="15" t="n">
        <x:f>IF(I52&lt;&gt;"입력 유효","입력 확인",I30*I31*3600/I32*I33)</x:f>
        <x:v>4680</x:v>
      </x:c>
    </x:row>
    <x:row r="57" ht="24" customHeight="1">
      <x:c r="A57" s="2"/>
      <x:c r="B57" s="2"/>
      <x:c r="C57" s="2" t="str">
        <x:v>수요를 반영한 유효 작업량</x:v>
      </x:c>
      <x:c r="D57" s="2" t="str">
        <x:v>건</x:v>
      </x:c>
      <x:c r="E57" s="15" t="n">
        <x:f>IF(E52&lt;&gt;"입력 유효","입력 확인",MIN(E50,E56))</x:f>
        <x:v>150000</x:v>
      </x:c>
      <x:c r="F57" s="15" t="n">
        <x:f>IF(F52&lt;&gt;"입력 유효","입력 확인",MIN(F50,F56))</x:f>
        <x:v>150000</x:v>
      </x:c>
      <x:c r="G57" s="15" t="n">
        <x:f>IF(G52&lt;&gt;"입력 유효","입력 확인",MIN(G50,G56))</x:f>
        <x:v>300000</x:v>
      </x:c>
      <x:c r="H57" s="15" t="n">
        <x:f>IF(H52&lt;&gt;"입력 유효","입력 확인",MIN(H50,H56))</x:f>
        <x:v>300000</x:v>
      </x:c>
      <x:c r="I57" s="15" t="n">
        <x:f>IF(I52&lt;&gt;"입력 유효","입력 확인",MIN(I50,I56))</x:f>
        <x:v>1500</x:v>
      </x:c>
    </x:row>
    <x:row r="58" ht="24" customHeight="1">
      <x:c r="A58" s="2"/>
      <x:c r="B58" s="2"/>
      <x:c r="C58" s="2" t="str">
        <x:v>미충족 수요</x:v>
      </x:c>
      <x:c r="D58" s="2" t="str">
        <x:v>건</x:v>
      </x:c>
      <x:c r="E58" s="15" t="n">
        <x:f>IF(E52&lt;&gt;"입력 유효","입력 확인",MAX(0,E50-E57))</x:f>
        <x:v>0</x:v>
      </x:c>
      <x:c r="F58" s="15" t="n">
        <x:f>IF(F52&lt;&gt;"입력 유효","입력 확인",MAX(0,F50-F57))</x:f>
        <x:v>0</x:v>
      </x:c>
      <x:c r="G58" s="15" t="n">
        <x:f>IF(G52&lt;&gt;"입력 유효","입력 확인",MAX(0,G50-G57))</x:f>
        <x:v>0</x:v>
      </x:c>
      <x:c r="H58" s="15" t="n">
        <x:f>IF(H52&lt;&gt;"입력 유효","입력 확인",MAX(0,H50-H57))</x:f>
        <x:v>0</x:v>
      </x:c>
      <x:c r="I58" s="15" t="n">
        <x:f>IF(I52&lt;&gt;"입력 유효","입력 확인",MAX(0,I50-I57))</x:f>
        <x:v>0</x:v>
      </x:c>
    </x:row>
    <x:row r="59" ht="24" customHeight="1">
      <x:c r="A59" s="2"/>
      <x:c r="B59" s="2"/>
      <x:c r="C59" s="2" t="str">
        <x:v>불합격 포함 시도 수</x:v>
      </x:c>
      <x:c r="D59" s="2" t="str">
        <x:v>건</x:v>
      </x:c>
      <x:c r="E59" s="15" t="n">
        <x:f>IF(E52&lt;&gt;"입력 유효","입력 확인",E57/E33)</x:f>
        <x:v>153061.22448979592</x:v>
      </x:c>
      <x:c r="F59" s="15" t="n">
        <x:f>IF(F52&lt;&gt;"입력 유효","입력 확인",F57/F33)</x:f>
        <x:v>150150.15015015015</x:v>
      </x:c>
      <x:c r="G59" s="15" t="n">
        <x:f>IF(G52&lt;&gt;"입력 유효","입력 확인",G57/G33)</x:f>
        <x:v>301507.5376884422</x:v>
      </x:c>
      <x:c r="H59" s="15" t="n">
        <x:f>IF(H52&lt;&gt;"입력 유효","입력 확인",H57/H33)</x:f>
        <x:v>300150.07503751875</x:v>
      </x:c>
      <x:c r="I59" s="15" t="n">
        <x:f>IF(I52&lt;&gt;"입력 유효","입력 확인",I57/I33)</x:f>
        <x:v>1666.6666666666665</x:v>
      </x:c>
    </x:row>
    <x:row r="60" ht="24" customHeight="1">
      <x:c r="A60" s="2"/>
      <x:c r="B60" s="2"/>
      <x:c r="C60" s="2" t="str">
        <x:v>실제 작업 시간</x:v>
      </x:c>
      <x:c r="D60" s="2" t="str">
        <x:v>시간</x:v>
      </x:c>
      <x:c r="E60" s="21" t="n">
        <x:f>IF(E52&lt;&gt;"입력 유효","입력 확인",E59*E32/3600)</x:f>
        <x:v>2976.190476190476</x:v>
      </x:c>
      <x:c r="F60" s="21" t="n">
        <x:f>IF(F52&lt;&gt;"입력 유효","입력 확인",F59*F32/3600)</x:f>
        <x:v>2085.418752085419</x:v>
      </x:c>
      <x:c r="G60" s="21" t="n">
        <x:f>IF(G52&lt;&gt;"입력 유효","입력 확인",G59*G32/3600)</x:f>
        <x:v>3768.8442211055276</x:v>
      </x:c>
      <x:c r="H60" s="21" t="n">
        <x:f>IF(H52&lt;&gt;"입력 유효","입력 확인",H59*H32/3600)</x:f>
        <x:v>833.750208437552</x:v>
      </x:c>
      <x:c r="I60" s="21" t="n">
        <x:f>IF(I52&lt;&gt;"입력 유효","입력 확인",I59*I32/3600)</x:f>
        <x:v>416.66666666666663</x:v>
      </x:c>
    </x:row>
    <x:row r="61" ht="24" customHeight="1">
      <x:c r="A61" s="2"/>
      <x:c r="B61" s="2"/>
      <x:c r="C61" s="2" t="str">
        <x:v>개입 인건비</x:v>
      </x:c>
      <x:c r="D61" s="2" t="str">
        <x:v>USD</x:v>
      </x:c>
      <x:c r="E61" s="18" t="n">
        <x:f>IF(E52&lt;&gt;"입력 유효","입력 확인",E60*E34*E35/60*E36)</x:f>
        <x:v>1557.5396825396826</x:v>
      </x:c>
      <x:c r="F61" s="18" t="n">
        <x:f>IF(F52&lt;&gt;"입력 유효","입력 확인",F60*F34*F35/60*F36)</x:f>
        <x:v>136.42114336558782</x:v>
      </x:c>
      <x:c r="G61" s="18" t="n">
        <x:f>IF(G52&lt;&gt;"입력 유효","입력 확인",G60*G34*G35/60*G36)</x:f>
        <x:v>902.8737437185929</x:v>
      </x:c>
      <x:c r="H61" s="18" t="n">
        <x:f>IF(H52&lt;&gt;"입력 유효","입력 확인",H60*H34*H35/60*H36)</x:f>
        <x:v>13.31568562058807</x:v>
      </x:c>
      <x:c r="I61" s="18" t="n">
        <x:f>IF(I52&lt;&gt;"입력 유효","입력 확인",I60*I34*I35/60*I36)</x:f>
        <x:v>2471.875</x:v>
      </x:c>
    </x:row>
    <x:row r="62" ht="24" customHeight="1">
      <x:c r="A62" s="2"/>
      <x:c r="B62" s="2"/>
      <x:c r="C62" s="2" t="str">
        <x:v>별도 현장 감독 인건비</x:v>
      </x:c>
      <x:c r="D62" s="2" t="str">
        <x:v>USD</x:v>
      </x:c>
      <x:c r="E62" s="18" t="n">
        <x:f>IF(E52&lt;&gt;"입력 유효","입력 확인",E37*E36)</x:f>
        <x:v>1962.5</x:v>
      </x:c>
      <x:c r="F62" s="18" t="n">
        <x:f>IF(F52&lt;&gt;"입력 유효","입력 확인",F37*F36)</x:f>
        <x:v>1177.5</x:v>
      </x:c>
      <x:c r="G62" s="18" t="n">
        <x:f>IF(G52&lt;&gt;"입력 유효","입력 확인",G37*G36)</x:f>
        <x:v>2299.7999999999997</x:v>
      </x:c>
      <x:c r="H62" s="18" t="n">
        <x:f>IF(H52&lt;&gt;"입력 유효","입력 확인",H37*H36)</x:f>
        <x:v>1916.5</x:v>
      </x:c>
      <x:c r="I62" s="18" t="n">
        <x:f>IF(I52&lt;&gt;"입력 유효","입력 확인",I37*I36)</x:f>
        <x:v>1186.5</x:v>
      </x:c>
    </x:row>
    <x:row r="63" ht="24" customHeight="1">
      <x:c r="A63" s="2"/>
      <x:c r="B63" s="2"/>
      <x:c r="C63" s="2" t="str">
        <x:v>전력비</x:v>
      </x:c>
      <x:c r="D63" s="2" t="str">
        <x:v>USD</x:v>
      </x:c>
      <x:c r="E63" s="18" t="n">
        <x:f>IF(E52&lt;&gt;"입력 유효","입력 확인",E60*E43*E44)</x:f>
        <x:v>214.28571428571425</x:v>
      </x:c>
      <x:c r="F63" s="18" t="n">
        <x:f>IF(F52&lt;&gt;"입력 유효","입력 확인",F60*F43*F44)</x:f>
        <x:v>250.25025025025025</x:v>
      </x:c>
      <x:c r="G63" s="18" t="n">
        <x:f>IF(G52&lt;&gt;"입력 유효","입력 확인",G60*G43*G44)</x:f>
        <x:v>316.5829145728643</x:v>
      </x:c>
      <x:c r="H63" s="18" t="n">
        <x:f>IF(H52&lt;&gt;"입력 유효","입력 확인",H60*H43*H44)</x:f>
        <x:v>180.09004502251122</x:v>
      </x:c>
      <x:c r="I63" s="18" t="n">
        <x:f>IF(I52&lt;&gt;"입력 유효","입력 확인",I60*I43*I44)</x:f>
        <x:v>14.999999999999998</x:v>
      </x:c>
    </x:row>
    <x:row r="64" ht="24" customHeight="1">
      <x:c r="A64" s="2"/>
      <x:c r="B64" s="2"/>
      <x:c r="C64" s="2" t="str">
        <x:v>재작업 비용</x:v>
      </x:c>
      <x:c r="D64" s="2" t="str">
        <x:v>USD</x:v>
      </x:c>
      <x:c r="E64" s="18" t="n">
        <x:f>IF(E52&lt;&gt;"입력 유효","입력 확인",(E59-E57)*E45)</x:f>
        <x:v>3061.224489795917</x:v>
      </x:c>
      <x:c r="F64" s="18" t="n">
        <x:f>IF(F52&lt;&gt;"입력 유효","입력 확인",(F59-F57)*F45)</x:f>
        <x:v>75.07507507507398</x:v>
      </x:c>
      <x:c r="G64" s="18" t="n">
        <x:f>IF(G52&lt;&gt;"입력 유효","입력 확인",(G59-G57)*G45)</x:f>
        <x:v>452.26130653266443</x:v>
      </x:c>
      <x:c r="H64" s="18" t="n">
        <x:f>IF(H52&lt;&gt;"입력 유효","입력 확인",(H59-H57)*H45)</x:f>
        <x:v>45.0225112556247</x:v>
      </x:c>
      <x:c r="I64" s="18" t="n">
        <x:f>IF(I52&lt;&gt;"입력 유효","입력 확인",(I59-I57)*I45)</x:f>
        <x:v>166.66666666666652</x:v>
      </x:c>
    </x:row>
    <x:row r="65" ht="24" customHeight="1">
      <x:c r="A65" s="2"/>
      <x:c r="B65" s="2"/>
      <x:c r="C65" s="2" t="str">
        <x:v>연 고정 유지·서비스 비용</x:v>
      </x:c>
      <x:c r="D65" s="2" t="str">
        <x:v>USD</x:v>
      </x:c>
      <x:c r="E65" s="18" t="n">
        <x:f>IF(E52&lt;&gt;"입력 유효","입력 확인",SUM(E38:E42))</x:f>
        <x:v>13000</x:v>
      </x:c>
      <x:c r="F65" s="18" t="n">
        <x:f>IF(F52&lt;&gt;"입력 유효","입력 확인",SUM(F38:F42))</x:f>
        <x:v>11500</x:v>
      </x:c>
      <x:c r="G65" s="18" t="n">
        <x:f>IF(G52&lt;&gt;"입력 유효","입력 확인",SUM(G38:G42))</x:f>
        <x:v>22500</x:v>
      </x:c>
      <x:c r="H65" s="18" t="n">
        <x:f>IF(H52&lt;&gt;"입력 유효","입력 확인",SUM(H38:H42))</x:f>
        <x:v>23000</x:v>
      </x:c>
      <x:c r="I65" s="18" t="n">
        <x:f>IF(I52&lt;&gt;"입력 유효","입력 확인",SUM(I38:I42))</x:f>
        <x:v>4400</x:v>
      </x:c>
    </x:row>
    <x:row r="66" ht="24" customHeight="1">
      <x:c r="A66" s="2"/>
      <x:c r="B66" s="2"/>
      <x:c r="C66" s="2" t="str">
        <x:v>연 반복 현금비용</x:v>
      </x:c>
      <x:c r="D66" s="2" t="str">
        <x:v>USD</x:v>
      </x:c>
      <x:c r="E66" s="18" t="n">
        <x:f>IF(E52&lt;&gt;"입력 유효","입력 확인",SUM(E61:E65))</x:f>
        <x:v>19795.549886621317</x:v>
      </x:c>
      <x:c r="F66" s="18" t="n">
        <x:f>IF(F52&lt;&gt;"입력 유효","입력 확인",SUM(F61:F65))</x:f>
        <x:v>13139.246468690912</x:v>
      </x:c>
      <x:c r="G66" s="18" t="n">
        <x:f>IF(G52&lt;&gt;"입력 유효","입력 확인",SUM(G61:G65))</x:f>
        <x:v>26471.51796482412</x:v>
      </x:c>
      <x:c r="H66" s="18" t="n">
        <x:f>IF(H52&lt;&gt;"입력 유효","입력 확인",SUM(H61:H65))</x:f>
        <x:v>25154.928241898724</x:v>
      </x:c>
      <x:c r="I66" s="18" t="n">
        <x:f>IF(I52&lt;&gt;"입력 유효","입력 확인",SUM(I61:I65))</x:f>
        <x:v>8240.041666666666</x:v>
      </x:c>
    </x:row>
    <x:row r="67" ht="24" customHeight="1">
      <x:c r="A67" s="2"/>
      <x:c r="B67" s="2"/>
      <x:c r="C67" s="2" t="str">
        <x:v>연 감가상각</x:v>
      </x:c>
      <x:c r="D67" s="2" t="str">
        <x:v>USD</x:v>
      </x:c>
      <x:c r="E67" s="18" t="n">
        <x:f>IF(E52&lt;&gt;"입력 유효","입력 확인",(E55-E28)/E27)</x:f>
        <x:v>17000</x:v>
      </x:c>
      <x:c r="F67" s="18" t="n">
        <x:f>IF(F52&lt;&gt;"입력 유효","입력 확인",(F55-F28)/F27)</x:f>
        <x:v>20000</x:v>
      </x:c>
      <x:c r="G67" s="18" t="n">
        <x:f>IF(G52&lt;&gt;"입력 유효","입력 확인",(G55-G28)/G27)</x:f>
        <x:v>26000</x:v>
      </x:c>
      <x:c r="H67" s="18" t="n">
        <x:f>IF(H52&lt;&gt;"입력 유효","입력 확인",(H55-H28)/H27)</x:f>
        <x:v>30000</x:v>
      </x:c>
      <x:c r="I67" s="18" t="n">
        <x:f>IF(I52&lt;&gt;"입력 유효","입력 확인",(I55-I28)/I27)</x:f>
        <x:v>4400</x:v>
      </x:c>
    </x:row>
    <x:row r="68" ht="24" customHeight="1">
      <x:c r="A68" s="2"/>
      <x:c r="B68" s="2"/>
      <x:c r="C68" s="2" t="str">
        <x:v>자본 회수 계수</x:v>
      </x:c>
      <x:c r="D68" s="2" t="str">
        <x:v>배</x:v>
      </x:c>
      <x:c r="E68" s="21" t="n">
        <x:f>IF(E52&lt;&gt;"입력 유효","입력 확인",IF(E29=0,1/E27,E29/(1-(1+E29)^(-E27))))</x:f>
        <x:v>0.26379748079474524</x:v>
      </x:c>
      <x:c r="F68" s="21" t="n">
        <x:f>IF(F52&lt;&gt;"입력 유효","입력 확인",IF(F29=0,1/F27,F29/(1-(1+F29)^(-F27))))</x:f>
        <x:v>0.20540549970059557</x:v>
      </x:c>
      <x:c r="G68" s="21" t="n">
        <x:f>IF(G52&lt;&gt;"입력 유효","입력 확인",IF(G29=0,1/G27,G29/(1-(1+G29)^(-G27))))</x:f>
        <x:v>0.26379748079474524</x:v>
      </x:c>
      <x:c r="H68" s="21" t="n">
        <x:f>IF(H52&lt;&gt;"입력 유효","입력 확인",IF(H29=0,1/H27,H29/(1-(1+H29)^(-H27))))</x:f>
        <x:v>0.16274539488251152</x:v>
      </x:c>
      <x:c r="I68" s="21" t="n">
        <x:f>IF(I52&lt;&gt;"입력 유효","입력 확인",IF(I29=0,1/I27,I29/(1-(1+I29)^(-I27))))</x:f>
        <x:v>0.26379748079474524</x:v>
      </x:c>
    </x:row>
    <x:row r="69" ht="24" customHeight="1">
      <x:c r="A69" s="2"/>
      <x:c r="B69" s="2"/>
      <x:c r="C69" s="2" t="str">
        <x:v>등가 연간 자본비용</x:v>
      </x:c>
      <x:c r="D69" s="2" t="str">
        <x:v>USD</x:v>
      </x:c>
      <x:c r="E69" s="18" t="n">
        <x:f>IF(E52&lt;&gt;"입력 유효","입력 확인",(E55-E28/(1+E29)^E27)*E68)</x:f>
        <x:v>22422.785867553346</x:v>
      </x:c>
      <x:c r="F69" s="18" t="n">
        <x:f>IF(F52&lt;&gt;"입력 유효","입력 확인",(F55-F28/(1+F29)^F27)*F68)</x:f>
        <x:v>28756.76995808338</x:v>
      </x:c>
      <x:c r="G69" s="18" t="n">
        <x:f>IF(G52&lt;&gt;"입력 유효","입력 확인",(G55-G28/(1+G29)^G27)*G68)</x:f>
        <x:v>34293.672503316884</x:v>
      </x:c>
      <x:c r="H69" s="18" t="n">
        <x:f>IF(H52&lt;&gt;"입력 유효","입력 확인",(H55-H28/(1+H29)^H27)*H68)</x:f>
        <x:v>48823.618464753454</x:v>
      </x:c>
      <x:c r="I69" s="18" t="n">
        <x:f>IF(I52&lt;&gt;"입력 유효","입력 확인",(I55-I28/(1+I29)^I27)*I68)</x:f>
        <x:v>5803.544577484396</x:v>
      </x:c>
    </x:row>
    <x:row r="70" ht="24" customHeight="1">
      <x:c r="A70" s="2"/>
      <x:c r="B70" s="2"/>
      <x:c r="C70" s="2" t="str">
        <x:v>동일 생산량 사람 노동비</x:v>
      </x:c>
      <x:c r="D70" s="2" t="str">
        <x:v>USD</x:v>
      </x:c>
      <x:c r="E70" s="18" t="n">
        <x:f>IF(E52&lt;&gt;"입력 유효","입력 확인",E57/(3600/E46*E47)*E48)</x:f>
        <x:v>82181.74204355109</x:v>
      </x:c>
      <x:c r="F70" s="18" t="n">
        <x:f>IF(F52&lt;&gt;"입력 유효","입력 확인",F57/(3600/F46*F47)*F48)</x:f>
        <x:v>82181.74204355109</x:v>
      </x:c>
      <x:c r="G70" s="18" t="n">
        <x:f>IF(G52&lt;&gt;"입력 유효","입력 확인",G57/(3600/G46*G47)*G48)</x:f>
        <x:v>96017.03406813627</x:v>
      </x:c>
      <x:c r="H70" s="18" t="n">
        <x:f>IF(H52&lt;&gt;"입력 유효","입력 확인",H57/(3600/H46*H47)*H48)</x:f>
        <x:v>96017.03406813627</x:v>
      </x:c>
      <x:c r="I70" s="18" t="n">
        <x:f>IF(I52&lt;&gt;"입력 유효","입력 확인",I57/(3600/I46*I47)*I48)</x:f>
        <x:v>5992.424242424243</x:v>
      </x:c>
    </x:row>
    <x:row r="71" ht="24" customHeight="1">
      <x:c r="A71" s="2"/>
      <x:c r="B71" s="2"/>
      <x:c r="C71" s="2" t="str">
        <x:v>연 순현금 절감</x:v>
      </x:c>
      <x:c r="D71" s="2" t="str">
        <x:v>USD</x:v>
      </x:c>
      <x:c r="E71" s="18" t="n">
        <x:f>IF(E52&lt;&gt;"입력 유효","입력 확인",E70*E49-E66)</x:f>
        <x:v>33622.58244168689</x:v>
      </x:c>
      <x:c r="F71" s="18" t="n">
        <x:f>IF(F52&lt;&gt;"입력 유효","입력 확인",F70*F49-F66)</x:f>
        <x:v>44387.97296179485</x:v>
      </x:c>
      <x:c r="G71" s="18" t="n">
        <x:f>IF(G52&lt;&gt;"입력 유효","입력 확인",G70*G49-G66)</x:f>
        <x:v>45541.257586278094</x:v>
      </x:c>
      <x:c r="H71" s="18" t="n">
        <x:f>IF(H52&lt;&gt;"입력 유효","입력 확인",H70*H49-H66)</x:f>
        <x:v>51658.69901261029</x:v>
      </x:c>
      <x:c r="I71" s="18" t="n">
        <x:f>IF(I52&lt;&gt;"입력 유효","입력 확인",I70*I49-I66)</x:f>
        <x:v>-6741.935606060605</x:v>
      </x:c>
    </x:row>
    <x:row r="72" ht="24" customHeight="1">
      <x:c r="A72" s="2"/>
      <x:c r="B72" s="2"/>
      <x:c r="C72" s="2" t="str">
        <x:v>감가상각 기준 작업당 비용</x:v>
      </x:c>
      <x:c r="D72" s="2" t="str">
        <x:v>USD/건</x:v>
      </x:c>
      <x:c r="E72" s="11" t="n">
        <x:f>IF(E52&lt;&gt;"입력 유효","입력 확인",IF(E57=0,"작업량 없음",(E66+E67)/E57))</x:f>
        <x:v>0.24530366591080877</x:v>
      </x:c>
      <x:c r="F72" s="11" t="n">
        <x:f>IF(F52&lt;&gt;"입력 유효","입력 확인",IF(F57=0,"작업량 없음",(F66+F67)/F57))</x:f>
        <x:v>0.22092830979127273</x:v>
      </x:c>
      <x:c r="G72" s="11" t="n">
        <x:f>IF(G52&lt;&gt;"입력 유효","입력 확인",IF(G57=0,"작업량 없음",(G66+G67)/G57))</x:f>
        <x:v>0.17490505988274707</x:v>
      </x:c>
      <x:c r="H72" s="11" t="n">
        <x:f>IF(H52&lt;&gt;"입력 유효","입력 확인",IF(H57=0,"작업량 없음",(H66+H67)/H57))</x:f>
        <x:v>0.1838497608063291</x:v>
      </x:c>
      <x:c r="I72" s="11" t="n">
        <x:f>IF(I52&lt;&gt;"입력 유효","입력 확인",IF(I57=0,"작업량 없음",(I66+I67)/I57))</x:f>
        <x:v>8.426694444444443</x:v>
      </x:c>
    </x:row>
    <x:row r="73" ht="24" customHeight="1">
      <x:c r="A73" s="2"/>
      <x:c r="B73" s="2"/>
      <x:c r="C73" s="2" t="str">
        <x:v>자본비용 기준 작업당 비용</x:v>
      </x:c>
      <x:c r="D73" s="2" t="str">
        <x:v>USD/건</x:v>
      </x:c>
      <x:c r="E73" s="11" t="n">
        <x:f>IF(E52&lt;&gt;"입력 유효","입력 확인",IF(E57=0,"작업량 없음",(E66+E69)/E57))</x:f>
        <x:v>0.28145557169449775</x:v>
      </x:c>
      <x:c r="F73" s="11" t="n">
        <x:f>IF(F52&lt;&gt;"입력 유효","입력 확인",IF(F57=0,"작업량 없음",(F66+F69)/F57))</x:f>
        <x:v>0.2793067761784953</x:v>
      </x:c>
      <x:c r="G73" s="11" t="n">
        <x:f>IF(G52&lt;&gt;"입력 유효","입력 확인",IF(G57=0,"작업량 없음",(G66+G69)/G57))</x:f>
        <x:v>0.20255063489380337</x:v>
      </x:c>
      <x:c r="H73" s="11" t="n">
        <x:f>IF(H52&lt;&gt;"입력 유효","입력 확인",IF(H57=0,"작업량 없음",(H66+H69)/H57))</x:f>
        <x:v>0.2465951556888406</x:v>
      </x:c>
      <x:c r="I73" s="11" t="n">
        <x:f>IF(I52&lt;&gt;"입력 유효","입력 확인",IF(I57=0,"작업량 없음",(I66+I69)/I57))</x:f>
        <x:v>9.362390829434041</x:v>
      </x:c>
    </x:row>
    <x:row r="74" ht="24" customHeight="1">
      <x:c r="A74" s="2"/>
      <x:c r="B74" s="2"/>
      <x:c r="C74" s="2" t="str">
        <x:v>사람 작업당 비용</x:v>
      </x:c>
      <x:c r="D74" s="2" t="str">
        <x:v>USD/건</x:v>
      </x:c>
      <x:c r="E74" s="11" t="n">
        <x:f>IF(E52&lt;&gt;"입력 유효","입력 확인",IF(E57=0,"작업량 없음",E70/E57))</x:f>
        <x:v>0.5478782802903406</x:v>
      </x:c>
      <x:c r="F74" s="11" t="n">
        <x:f>IF(F52&lt;&gt;"입력 유효","입력 확인",IF(F57=0,"작업량 없음",F70/F57))</x:f>
        <x:v>0.5478782802903406</x:v>
      </x:c>
      <x:c r="G74" s="11" t="n">
        <x:f>IF(G52&lt;&gt;"입력 유효","입력 확인",IF(G57=0,"작업량 없음",G70/G57))</x:f>
        <x:v>0.3200567802271209</x:v>
      </x:c>
      <x:c r="H74" s="11" t="n">
        <x:f>IF(H52&lt;&gt;"입력 유효","입력 확인",IF(H57=0,"작업량 없음",H70/H57))</x:f>
        <x:v>0.3200567802271209</x:v>
      </x:c>
      <x:c r="I74" s="11" t="n">
        <x:f>IF(I52&lt;&gt;"입력 유효","입력 확인",IF(I57=0,"작업량 없음",I70/I57))</x:f>
        <x:v>3.9949494949494953</x:v>
      </x:c>
    </x:row>
    <x:row r="75" ht="24" customHeight="1">
      <x:c r="A75" s="2"/>
      <x:c r="B75" s="2"/>
      <x:c r="C75" s="2" t="str">
        <x:v>단순 회수기간</x:v>
      </x:c>
      <x:c r="D75" s="2" t="str">
        <x:v>년</x:v>
      </x:c>
      <x:c r="E75" s="21" t="n">
        <x:f>IF(E52&lt;&gt;"입력 유효","입력 확인",IF(E71&lt;=0,"회수불가",E55/E71))</x:f>
        <x:v>2.528062802654115</x:v>
      </x:c>
      <x:c r="F75" s="21" t="n">
        <x:f>IF(F52&lt;&gt;"입력 유효","입력 확인",IF(F71&lt;=0,"회수불가",F55/F71))</x:f>
        <x:v>3.1540075083063455</x:v>
      </x:c>
      <x:c r="G75" s="21" t="n">
        <x:f>IF(G52&lt;&gt;"입력 유효","입력 확인",IF(G71&lt;=0,"회수불가",G55/G71))</x:f>
        <x:v>2.854554460945978</x:v>
      </x:c>
      <x:c r="H75" s="21" t="n">
        <x:f>IF(H52&lt;&gt;"입력 유효","입력 확인",IF(H71&lt;=0,"회수불가",H55/H71))</x:f>
        <x:v>5.8073471793543945</x:v>
      </x:c>
      <x:c r="I75" s="21" t="str">
        <x:f>IF(I52&lt;&gt;"입력 유효","입력 확인",IF(I71&lt;=0,"회수불가",I55/I71))</x:f>
        <x:v>회수불가</x:v>
      </x:c>
    </x:row>
    <x:row r="76" ht="24" customHeight="1">
      <x:c r="A76" s="2"/>
      <x:c r="B76" s="2"/>
      <x:c r="C76" s="2" t="str">
        <x:v>전체 내용연수 NPV</x:v>
      </x:c>
      <x:c r="D76" s="2" t="str">
        <x:v>USD</x:v>
      </x:c>
      <x:c r="E76" s="18" t="n">
        <x:f>IF(E52&lt;&gt;"입력 유효","입력 확인",-E55+IF(E29=0,E71*E27,E71*(1-(1+E29)^(-E27))/E29)+E28/(1+E29)^E27)</x:f>
        <x:v>42456.04067329154</x:v>
      </x:c>
      <x:c r="F76" s="18" t="n">
        <x:f>IF(F52&lt;&gt;"입력 유효","입력 확인",-F55+IF(F29=0,F71*F27,F71*(1-(1+F29)^(-F27))/F29)+F28/(1+F29)^F27)</x:f>
        <x:v>76099.24284644725</x:v>
      </x:c>
      <x:c r="G76" s="18" t="n">
        <x:f>IF(G52&lt;&gt;"입력 유효","입력 확인",-G55+IF(G29=0,G71*G27,G71*(1-(1+G29)^(-G27))/G29)+G28/(1+G29)^G27)</x:f>
        <x:v>42637.196720285225</x:v>
      </x:c>
      <x:c r="H76" s="18" t="n">
        <x:f>IF(H52&lt;&gt;"입력 유효","입력 확인",-H55+IF(H29=0,H71*H27,H71*(1-(1+H29)^(-H27))/H29)+H28/(1+H29)^H27)</x:f>
        <x:v>17420.342676384316</x:v>
      </x:c>
      <x:c r="I76" s="18" t="n">
        <x:f>IF(I52&lt;&gt;"입력 유효","입력 확인",-I55+IF(I29=0,I71*I27,I71*(1-(1+I29)^(-I27))/I29)+I28/(1+I29)^I27)</x:f>
        <x:v>-47557.24029565828</x:v>
      </x:c>
    </x:row>
    <x:row r="77" ht="24" customHeight="1">
      <x:c r="A77" s="2"/>
      <x:c r="B77" s="2"/>
      <x:c r="C77" s="2" t="str">
        <x:v>연 현금 손익분기 실현율</x:v>
      </x:c>
      <x:c r="D77" s="2" t="str">
        <x:v>%</x:v>
      </x:c>
      <x:c r="E77" s="23" t="n">
        <x:f>IF(E52&lt;&gt;"입력 유효","입력 확인",IF(E70=0,"작업량 없음",E66/E70))</x:f>
        <x:v>0.24087527709172843</x:v>
      </x:c>
      <x:c r="F77" s="23" t="n">
        <x:f>IF(F52&lt;&gt;"입력 유효","입력 확인",IF(F70=0,"작업량 없음",F66/F70))</x:f>
        <x:v>0.1598803595782619</x:v>
      </x:c>
      <x:c r="G77" s="23" t="n">
        <x:f>IF(G52&lt;&gt;"입력 유효","입력 확인",IF(G70=0,"작업량 없음",G66/G70))</x:f>
        <x:v>0.2756960597849671</x:v>
      </x:c>
      <x:c r="H77" s="23" t="n">
        <x:f>IF(H52&lt;&gt;"입력 유효","입력 확인",IF(H70=0,"작업량 없음",H66/H70))</x:f>
        <x:v>0.2619840165448988</x:v>
      </x:c>
      <x:c r="I77" s="23" t="n">
        <x:f>IF(I52&lt;&gt;"입력 유효","입력 확인",IF(I70=0,"작업량 없음",I66/I70))</x:f>
        <x:v>1.375076485461441</x:v>
      </x:c>
    </x:row>
    <x:row r="78" ht="24" customHeight="1">
      <x:c r="A78" s="2"/>
      <x:c r="B78" s="2"/>
      <x:c r="C78" s="2" t="str">
        <x:v>3년 회수 최소 실현율</x:v>
      </x:c>
      <x:c r="D78" s="2" t="str">
        <x:v>%</x:v>
      </x:c>
      <x:c r="E78" s="23" t="n">
        <x:f>IF(E52&lt;&gt;"입력 유효","입력 확인",IF(E70=0,"작업량 없음",(E66+E55/3)/E70))</x:f>
        <x:v>0.5856396083019194</x:v>
      </x:c>
      <x:c r="F78" s="23" t="n">
        <x:f>IF(F52&lt;&gt;"입력 유효","입력 확인",IF(F70=0,"작업량 없음",(F66+F55/3)/F70))</x:f>
        <x:v>0.7277274933362237</x:v>
      </x:c>
      <x:c r="G78" s="23" t="n">
        <x:f>IF(G52&lt;&gt;"입력 유효","입력 확인",IF(G70=0,"작업량 없음",(G66+G55/3)/G70))</x:f>
        <x:v>0.7270048692466595</x:v>
      </x:c>
      <x:c r="H78" s="23" t="n">
        <x:f>IF(H52&lt;&gt;"입력 유효","입력 확인",IF(H70=0,"작업량 없음",(H66+H55/3)/H70))</x:f>
        <x:v>1.3034658845334195</x:v>
      </x:c>
      <x:c r="I78" s="23" t="n">
        <x:f>IF(I52&lt;&gt;"입력 유효","입력 확인",IF(I70=0,"작업량 없음",(I66+I55/3)/I70))</x:f>
        <x:v>2.5988438685208592</x:v>
      </x:c>
    </x:row>
    <x:row r="79" ht="24" customHeight="1">
      <x:c r="A79" s="2"/>
      <x:c r="B79" s="2"/>
      <x:c r="C79" s="2" t="str">
        <x:v>3년 회수 가능한 기체 가격</x:v>
      </x:c>
      <x:c r="D79" s="2" t="str">
        <x:v>USD</x:v>
      </x:c>
      <x:c r="E79" s="18" t="n">
        <x:f>IF(E52&lt;&gt;"입력 유효","입력 확인",MAX(0,3*E71-E26))</x:f>
        <x:v>75867.74732506069</x:v>
      </x:c>
      <x:c r="F79" s="18" t="n">
        <x:f>IF(F52&lt;&gt;"입력 유효","입력 확인",MAX(0,3*F71-F26))</x:f>
        <x:v>93163.91888538454</x:v>
      </x:c>
      <x:c r="G79" s="18" t="n">
        <x:f>IF(G52&lt;&gt;"입력 유효","입력 확인",MAX(0,3*G71-G26))</x:f>
        <x:v>96623.7727588343</x:v>
      </x:c>
      <x:c r="H79" s="18" t="n">
        <x:f>IF(H52&lt;&gt;"입력 유효","입력 확인",MAX(0,3*H71-H26))</x:f>
        <x:v>64976.097037830856</x:v>
      </x:c>
      <x:c r="I79" s="18" t="n">
        <x:f>IF(I52&lt;&gt;"입력 유효","입력 확인",MAX(0,3*I71-I26))</x:f>
        <x:v>0</x:v>
      </x:c>
    </x:row>
    <x:row r="80" ht="24" customHeight="1">
      <x:c r="A80" s="2"/>
      <x:c r="B80" s="2"/>
      <x:c r="C80" s="2" t="str">
        <x:v>감독비/동일 작업 사람 비용</x:v>
      </x:c>
      <x:c r="D80" s="2" t="str">
        <x:v>%</x:v>
      </x:c>
      <x:c r="E80" s="23" t="n">
        <x:f>IF(E52&lt;&gt;"입력 유효","입력 확인",IF(E70=0,"작업량 없음",E62/E70))</x:f>
        <x:v>0.023880000000000002</x:v>
      </x:c>
      <x:c r="F80" s="23" t="n">
        <x:f>IF(F52&lt;&gt;"입력 유효","입력 확인",IF(F70=0,"작업량 없음",F62/F70))</x:f>
        <x:v>0.014328</x:v>
      </x:c>
      <x:c r="G80" s="23" t="n">
        <x:f>IF(G52&lt;&gt;"입력 유효","입력 확인",IF(G70=0,"작업량 없음",G62/G70))</x:f>
        <x:v>0.023951999999999998</x:v>
      </x:c>
      <x:c r="H80" s="23" t="n">
        <x:f>IF(H52&lt;&gt;"입력 유효","입력 확인",IF(H70=0,"작업량 없음",H62/H70))</x:f>
        <x:v>0.01996</x:v>
      </x:c>
      <x:c r="I80" s="23" t="n">
        <x:f>IF(I52&lt;&gt;"입력 유효","입력 확인",IF(I70=0,"작업량 없음",I62/I70))</x:f>
        <x:v>0.19799999999999998</x:v>
      </x:c>
    </x:row>
    <x:row r="81" ht="24" customHeight="1">
      <x:c r="A81" s="2"/>
      <x:c r="B81" s="2"/>
      <x:c r="C81" s="2"/>
      <x:c r="D81" s="2"/>
      <x:c r="E81" s="2"/>
      <x:c r="F81" s="2"/>
      <x:c r="G81" s="2"/>
      <x:c r="H81" s="2"/>
      <x:c r="I81" s="2"/>
    </x:row>
    <x:row r="82" ht="24" customHeight="1">
      <x:c r="A82" s="2"/>
      <x:c r="B82" s="2"/>
      <x:c r="C82" s="2"/>
      <x:c r="D82" s="2"/>
      <x:c r="E82" s="2"/>
      <x:c r="F82" s="2"/>
      <x:c r="G82" s="2"/>
      <x:c r="H82" s="2"/>
      <x:c r="I82" s="2"/>
    </x:row>
    <x:row r="83" ht="24" customHeight="1">
      <x:c r="A83" s="2"/>
      <x:c r="B83" s="2"/>
      <x:c r="C83" s="4" t="str">
        <x:v>임금 원자료: BLS ECEC Table 4, https://www.bls.gov/news.release/ecec.t04.htm</x:v>
      </x:c>
      <x:c r="D83" s="2"/>
      <x:c r="E83" s="2"/>
      <x:c r="F83" s="2"/>
      <x:c r="G83" s="2"/>
      <x:c r="H83" s="2"/>
      <x:c r="I83" s="2"/>
    </x:row>
    <x:row r="84" ht="24" customHeight="1">
      <x:c r="A84" s="2"/>
      <x:c r="B84" s="2"/>
      <x:c r="C84" s="4" t="str">
        <x:v>39.25·38.33·23.73 USD/h는 선택된 미국 업종의 완전부담 보상비용. 특정 사업장 견적이나 한국 임금이 아닙니다.</x:v>
      </x:c>
      <x:c r="D84" s="2"/>
      <x:c r="E84" s="2"/>
      <x:c r="F84" s="2"/>
      <x:c r="G84" s="2"/>
      <x:c r="H84" s="2"/>
      <x:c r="I84" s="2"/>
    </x:row>
    <x:row r="85" ht="24" customHeight="1">
      <x:c r="A85" s="2"/>
      <x:c r="B85" s="2"/>
      <x:c r="C85" s="4" t="str">
        <x:v>나머지 모든 입력은 조건부 가정입니다. 세금·금융 조달·설치 중단·추가 안전 공사·공통 감독 시간은 현장 자료로 보완하십시오.</x:v>
      </x:c>
      <x:c r="D85" s="2"/>
      <x:c r="E85" s="2"/>
      <x:c r="F85" s="2"/>
      <x:c r="G85" s="2"/>
      <x:c r="H85" s="2"/>
      <x:c r="I85" s="2"/>
    </x:row>
    <x:row r="86" ht="24" customHeight="1">
      <x:c r="A86" s="2"/>
      <x:c r="B86" s="2"/>
      <x:c r="C86" s="4" t="str">
        <x:v>미충족 수요를 추가 인력·설비로 처리할 비용은 이 로봇 1대의 비용에 합산하지 않았습니다. 전체 현장 비교에는 추가하십시오.</x:v>
      </x:c>
      <x:c r="D86" s="2"/>
      <x:c r="E86" s="2"/>
      <x:c r="F86" s="2"/>
      <x:c r="G86" s="2"/>
      <x:c r="H86" s="2"/>
      <x:c r="I86" s="2"/>
    </x:row>
    <x:row r="87" ht="24" customHeight="1">
      <x:c r="A87" s="2"/>
      <x:c r="B87" s="2"/>
      <x:c r="C87" s="2"/>
      <x:c r="D87" s="2"/>
      <x:c r="E87" s="2"/>
      <x:c r="F87" s="2"/>
      <x:c r="G87" s="2"/>
      <x:c r="H87" s="2"/>
      <x:c r="I87" s="2"/>
    </x:row>
    <x:row r="88" ht="24" customHeight="1">
      <x:c r="A88" s="2"/>
      <x:c r="B88" s="2"/>
      <x:c r="C88" s="2"/>
      <x:c r="D88" s="2"/>
      <x:c r="E88" s="2"/>
      <x:c r="F88" s="2"/>
      <x:c r="G88" s="2"/>
      <x:c r="H88" s="2"/>
      <x:c r="I88" s="2"/>
    </x:row>
    <x:row r="89" ht="24" customHeight="1">
      <x:c r="A89" s="2"/>
      <x:c r="B89" s="2"/>
      <x:c r="C89" s="2"/>
      <x:c r="D89" s="2"/>
      <x:c r="E89" s="2"/>
      <x:c r="F89" s="2"/>
      <x:c r="G89" s="2"/>
      <x:c r="H89" s="2"/>
      <x:c r="I89" s="2"/>
    </x:row>
    <x:row r="90" ht="24" customHeight="1">
      <x:c r="A90" s="2"/>
      <x:c r="B90" s="2"/>
      <x:c r="C90" s="2"/>
      <x:c r="D90" s="2"/>
      <x:c r="E90" s="2"/>
      <x:c r="F90" s="2"/>
      <x:c r="G90" s="2"/>
      <x:c r="H90" s="2"/>
      <x:c r="I90" s="2"/>
    </x:row>
    <x:row r="91" ht="24" customHeight="1">
      <x:c r="A91" s="2"/>
      <x:c r="B91" s="2"/>
      <x:c r="C91" s="2"/>
      <x:c r="D91" s="2"/>
      <x:c r="E91" s="2"/>
      <x:c r="F91" s="2"/>
      <x:c r="G91" s="2"/>
      <x:c r="H91" s="2"/>
      <x:c r="I91" s="2"/>
    </x:row>
    <x:row r="92" ht="24" customHeight="1">
      <x:c r="A92" s="2"/>
      <x:c r="B92" s="2"/>
      <x:c r="C92" s="2"/>
      <x:c r="D92" s="2"/>
      <x:c r="E92" s="2"/>
      <x:c r="F92" s="2"/>
      <x:c r="G92" s="2"/>
      <x:c r="H92" s="2"/>
      <x:c r="I92" s="2"/>
    </x:row>
  </x:sheetData>
  <x:conditionalFormatting sqref="E52:E52">
    <x:cfRule type="containsText" dxfId="0" priority="1" operator="containsText" text="확인"/>
  </x:conditionalFormatting>
  <x:conditionalFormatting sqref="E25:E50">
    <x:cfRule type="expression" dxfId="1" priority="2">
      <x:formula>OR(NOT(ISNUMBER(E25)),E25&lt;0)</x:formula>
    </x:cfRule>
  </x:conditionalFormatting>
  <x:conditionalFormatting sqref="F52:F52">
    <x:cfRule type="containsText" dxfId="2" priority="3" operator="containsText" text="확인"/>
  </x:conditionalFormatting>
  <x:conditionalFormatting sqref="F25:F50">
    <x:cfRule type="expression" dxfId="3" priority="4">
      <x:formula>OR(NOT(ISNUMBER(F25)),F25&lt;0)</x:formula>
    </x:cfRule>
  </x:conditionalFormatting>
  <x:conditionalFormatting sqref="G52:G52">
    <x:cfRule type="containsText" dxfId="4" priority="5" operator="containsText" text="확인"/>
  </x:conditionalFormatting>
  <x:conditionalFormatting sqref="G25:G50">
    <x:cfRule type="expression" dxfId="5" priority="6">
      <x:formula>OR(NOT(ISNUMBER(G25)),G25&lt;0)</x:formula>
    </x:cfRule>
  </x:conditionalFormatting>
  <x:conditionalFormatting sqref="H52:H52">
    <x:cfRule type="containsText" dxfId="6" priority="7" operator="containsText" text="확인"/>
  </x:conditionalFormatting>
  <x:conditionalFormatting sqref="H25:H50">
    <x:cfRule type="expression" dxfId="7" priority="8">
      <x:formula>OR(NOT(ISNUMBER(H25)),H25&lt;0)</x:formula>
    </x:cfRule>
  </x:conditionalFormatting>
  <x:conditionalFormatting sqref="I52:I52">
    <x:cfRule type="containsText" dxfId="8" priority="9" operator="containsText" text="확인"/>
  </x:conditionalFormatting>
  <x:conditionalFormatting sqref="I25:I50">
    <x:cfRule type="expression" dxfId="9" priority="10">
      <x:formula>OR(NOT(ISNUMBER(I25)),I25&lt;0)</x:formula>
    </x:cfRule>
  </x:conditionalFormatting>
  <x:dataValidations count="25">
    <x:dataValidation type="decimal" operator="between" sqref="E29">
      <x:formula1>0</x:formula1>
      <x:formula2>1</x:formula2>
    </x:dataValidation>
    <x:dataValidation type="decimal" operator="between" sqref="E31">
      <x:formula1>0</x:formula1>
      <x:formula2>1</x:formula2>
    </x:dataValidation>
    <x:dataValidation type="decimal" operator="between" sqref="E33">
      <x:formula1>0</x:formula1>
      <x:formula2>1</x:formula2>
    </x:dataValidation>
    <x:dataValidation type="decimal" operator="between" sqref="E47">
      <x:formula1>0</x:formula1>
      <x:formula2>1</x:formula2>
    </x:dataValidation>
    <x:dataValidation type="decimal" operator="between" sqref="E49">
      <x:formula1>0</x:formula1>
      <x:formula2>1</x:formula2>
    </x:dataValidation>
    <x:dataValidation type="decimal" operator="between" sqref="F29">
      <x:formula1>0</x:formula1>
      <x:formula2>1</x:formula2>
    </x:dataValidation>
    <x:dataValidation type="decimal" operator="between" sqref="F31">
      <x:formula1>0</x:formula1>
      <x:formula2>1</x:formula2>
    </x:dataValidation>
    <x:dataValidation type="decimal" operator="between" sqref="F33">
      <x:formula1>0</x:formula1>
      <x:formula2>1</x:formula2>
    </x:dataValidation>
    <x:dataValidation type="decimal" operator="between" sqref="F47">
      <x:formula1>0</x:formula1>
      <x:formula2>1</x:formula2>
    </x:dataValidation>
    <x:dataValidation type="decimal" operator="between" sqref="F49">
      <x:formula1>0</x:formula1>
      <x:formula2>1</x:formula2>
    </x:dataValidation>
    <x:dataValidation type="decimal" operator="between" sqref="G29">
      <x:formula1>0</x:formula1>
      <x:formula2>1</x:formula2>
    </x:dataValidation>
    <x:dataValidation type="decimal" operator="between" sqref="G31">
      <x:formula1>0</x:formula1>
      <x:formula2>1</x:formula2>
    </x:dataValidation>
    <x:dataValidation type="decimal" operator="between" sqref="G33">
      <x:formula1>0</x:formula1>
      <x:formula2>1</x:formula2>
    </x:dataValidation>
    <x:dataValidation type="decimal" operator="between" sqref="G47">
      <x:formula1>0</x:formula1>
      <x:formula2>1</x:formula2>
    </x:dataValidation>
    <x:dataValidation type="decimal" operator="between" sqref="G49">
      <x:formula1>0</x:formula1>
      <x:formula2>1</x:formula2>
    </x:dataValidation>
    <x:dataValidation type="decimal" operator="between" sqref="H29">
      <x:formula1>0</x:formula1>
      <x:formula2>1</x:formula2>
    </x:dataValidation>
    <x:dataValidation type="decimal" operator="between" sqref="H31">
      <x:formula1>0</x:formula1>
      <x:formula2>1</x:formula2>
    </x:dataValidation>
    <x:dataValidation type="decimal" operator="between" sqref="H33">
      <x:formula1>0</x:formula1>
      <x:formula2>1</x:formula2>
    </x:dataValidation>
    <x:dataValidation type="decimal" operator="between" sqref="H47">
      <x:formula1>0</x:formula1>
      <x:formula2>1</x:formula2>
    </x:dataValidation>
    <x:dataValidation type="decimal" operator="between" sqref="H49">
      <x:formula1>0</x:formula1>
      <x:formula2>1</x:formula2>
    </x:dataValidation>
    <x:dataValidation type="decimal" operator="between" sqref="I29">
      <x:formula1>0</x:formula1>
      <x:formula2>1</x:formula2>
    </x:dataValidation>
    <x:dataValidation type="decimal" operator="between" sqref="I31">
      <x:formula1>0</x:formula1>
      <x:formula2>1</x:formula2>
    </x:dataValidation>
    <x:dataValidation type="decimal" operator="between" sqref="I33">
      <x:formula1>0</x:formula1>
      <x:formula2>1</x:formula2>
    </x:dataValidation>
    <x:dataValidation type="decimal" operator="between" sqref="I47">
      <x:formula1>0</x:formula1>
      <x:formula2>1</x:formula2>
    </x:dataValidation>
    <x:dataValidation type="decimal" operator="between" sqref="I49">
      <x:formula1>0</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 hidden="0" customWidth="1"/>
    <x:col min="2" max="2" width="2" hidden="0" customWidth="1"/>
    <x:col min="3" max="3" width="17" hidden="0" customWidth="1"/>
    <x:col min="4" max="4" width="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9" hidden="0" customWidth="1"/>
    <x:col min="12" max="12" width="20" hidden="0" customWidth="1"/>
    <x:col min="13" max="13" width="19" hidden="0" customWidth="1"/>
  </x:cols>
  <x:sheetData>
    <x:row r="1" ht="24" customHeight="1">
      <x:c r="A1" s="2"/>
      <x:c r="B1" s="2"/>
      <x:c r="C1" s="2"/>
      <x:c r="D1" s="2"/>
      <x:c r="E1" s="2"/>
      <x:c r="F1" s="2"/>
      <x:c r="G1" s="2"/>
      <x:c r="H1" s="2"/>
      <x:c r="I1" s="2"/>
      <x:c r="J1" s="2"/>
      <x:c r="K1" s="2"/>
      <x:c r="L1" s="2"/>
      <x:c r="M1" s="2"/>
    </x:row>
    <x:row r="2" ht="24" customHeight="1">
      <x:c r="A2" s="2"/>
      <x:c r="B2" s="2"/>
      <x:c r="C2" s="3" t="str">
        <x:v>제조 휴머노이드 가동률과 현금절감 민감도</x:v>
      </x:c>
      <x:c r="D2" s="3"/>
      <x:c r="E2" s="3"/>
      <x:c r="F2" s="3"/>
      <x:c r="G2" s="3"/>
      <x:c r="H2" s="3"/>
      <x:c r="I2" s="3"/>
      <x:c r="J2" s="3"/>
      <x:c r="K2" s="3"/>
      <x:c r="L2" s="3"/>
      <x:c r="M2" s="3"/>
    </x:row>
    <x:row r="3" ht="24" customHeight="1">
      <x:c r="A3" s="2"/>
      <x:c r="B3" s="2"/>
      <x:c r="C3" s="2"/>
      <x:c r="D3" s="2"/>
      <x:c r="E3" s="2"/>
      <x:c r="F3" s="2"/>
      <x:c r="G3" s="2"/>
      <x:c r="H3" s="2"/>
      <x:c r="I3" s="2"/>
      <x:c r="J3" s="2"/>
      <x:c r="K3" s="2"/>
      <x:c r="L3" s="2"/>
      <x:c r="M3" s="2"/>
    </x:row>
    <x:row r="4" ht="24" customHeight="1">
      <x:c r="A4" s="2"/>
      <x:c r="B4" s="2"/>
      <x:c r="C4" s="4" t="str">
        <x:v>노란색 가동률·절감 실현율을 수정합니다. 나머지 조건은 고객경제성의 제조 휴머노이드 입력을 그대로 사용합니다.</x:v>
      </x:c>
      <x:c r="D4" s="2"/>
      <x:c r="E4" s="2"/>
      <x:c r="F4" s="2"/>
      <x:c r="G4" s="2"/>
      <x:c r="H4" s="2"/>
      <x:c r="I4" s="2"/>
      <x:c r="J4" s="2"/>
      <x:c r="K4" s="2"/>
      <x:c r="L4" s="2"/>
      <x:c r="M4" s="2"/>
    </x:row>
    <x:row r="5" ht="24" customHeight="1">
      <x:c r="A5" s="2"/>
      <x:c r="B5" s="2"/>
      <x:c r="C5" s="2" t="str">
        <x:v>NPV (USD)</x:v>
      </x:c>
      <x:c r="D5" s="2"/>
      <x:c r="E5" s="2"/>
      <x:c r="F5" s="2"/>
      <x:c r="G5" s="2"/>
      <x:c r="H5" s="2"/>
      <x:c r="I5" s="2"/>
      <x:c r="J5" s="2"/>
      <x:c r="K5" s="2"/>
      <x:c r="L5" s="2"/>
      <x:c r="M5" s="2"/>
    </x:row>
    <x:row r="6" ht="24" customHeight="1">
      <x:c r="A6" s="2"/>
      <x:c r="B6" s="2"/>
      <x:c r="C6" s="2" t="str">
        <x:v>가동률 / 실현율</x:v>
      </x:c>
      <x:c r="D6" s="2"/>
      <x:c r="E6" s="31" t="n">
        <x:v>0.25</x:v>
      </x:c>
      <x:c r="F6" s="31" t="n">
        <x:v>0.4</x:v>
      </x:c>
      <x:c r="G6" s="31" t="n">
        <x:v>0.55</x:v>
      </x:c>
      <x:c r="H6" s="31" t="n">
        <x:v>0.65</x:v>
      </x:c>
      <x:c r="I6" s="31" t="n">
        <x:v>0.8</x:v>
      </x:c>
      <x:c r="J6" s="31" t="n">
        <x:v>1</x:v>
      </x:c>
      <x:c r="K6" s="2"/>
      <x:c r="L6" s="2"/>
      <x:c r="M6" s="2"/>
    </x:row>
    <x:row r="7" ht="24" customHeight="1">
      <x:c r="A7" s="2"/>
      <x:c r="B7" s="2"/>
      <x:c r="C7" s="31" t="n">
        <x:v>0.55</x:v>
      </x:c>
      <x:c r="D7" s="2"/>
      <x:c r="E7" s="18" t="n">
        <x:f>L30</x:f>
        <x:v>-97691.19226027472</x:v>
      </x:c>
      <x:c r="F7" s="18" t="n">
        <x:f>L31</x:f>
        <x:v>-63148.362168280684</x:v>
      </x:c>
      <x:c r="G7" s="18" t="n">
        <x:f>L32</x:f>
        <x:v>-28605.532076286632</x:v>
      </x:c>
      <x:c r="H7" s="18" t="n">
        <x:f>L33</x:f>
        <x:v>-5576.978681623936</x:v>
      </x:c>
      <x:c r="I7" s="18" t="n">
        <x:f>L34</x:f>
        <x:v>28965.851410370087</x:v>
      </x:c>
      <x:c r="J7" s="18" t="n">
        <x:f>L35</x:f>
        <x:v>75022.95819969545</x:v>
      </x:c>
      <x:c r="K7" s="2"/>
      <x:c r="L7" s="2"/>
      <x:c r="M7" s="2"/>
    </x:row>
    <x:row r="8" ht="24" customHeight="1">
      <x:c r="A8" s="2"/>
      <x:c r="B8" s="2"/>
      <x:c r="C8" s="31" t="n">
        <x:v>0.65</x:v>
      </x:c>
      <x:c r="D8" s="2"/>
      <x:c r="E8" s="18" t="n">
        <x:f>L36</x:f>
        <x:v>-89686.01866445664</x:v>
      </x:c>
      <x:c r="F8" s="18" t="n">
        <x:f>L37</x:f>
        <x:v>-48862.67401028185</x:v>
      </x:c>
      <x:c r="G8" s="18" t="n">
        <x:f>L38</x:f>
        <x:v>-8039.32935610706</x:v>
      </x:c>
      <x:c r="H8" s="18" t="n">
        <x:f>L39</x:f>
        <x:v>19176.23374667611</x:v>
      </x:c>
      <x:c r="I8" s="18" t="n">
        <x:f>L40</x:f>
        <x:v>59999.57840085088</x:v>
      </x:c>
      <x:c r="J8" s="18" t="n">
        <x:f>L41</x:f>
        <x:v>114430.70460641722</x:v>
      </x:c>
      <x:c r="K8" s="2"/>
      <x:c r="L8" s="2"/>
      <x:c r="M8" s="2"/>
    </x:row>
    <x:row r="9" ht="24" customHeight="1">
      <x:c r="A9" s="2"/>
      <x:c r="B9" s="2"/>
      <x:c r="C9" s="31" t="n">
        <x:v>0.75</x:v>
      </x:c>
      <x:c r="D9" s="2"/>
      <x:c r="E9" s="18" t="n">
        <x:f>L42</x:f>
        <x:v>-82157.34349696111</x:v>
      </x:c>
      <x:c r="F9" s="18" t="n">
        <x:f>L43</x:f>
        <x:v>-35427.32443311635</x:v>
      </x:c>
      <x:c r="G9" s="18" t="n">
        <x:f>L44</x:f>
        <x:v>11302.694630728409</x:v>
      </x:c>
      <x:c r="H9" s="18" t="n">
        <x:f>L45</x:f>
        <x:v>42456.04067329159</x:v>
      </x:c>
      <x:c r="I9" s="18" t="n">
        <x:f>L46</x:f>
        <x:v>89186.0597371363</x:v>
      </x:c>
      <x:c r="J9" s="18" t="n">
        <x:f>L47</x:f>
        <x:v>151492.7518222626</x:v>
      </x:c>
      <x:c r="K9" s="2"/>
      <x:c r="L9" s="2"/>
      <x:c r="M9" s="2"/>
    </x:row>
    <x:row r="10" ht="24" customHeight="1">
      <x:c r="A10" s="2"/>
      <x:c r="B10" s="2"/>
      <x:c r="C10" s="31" t="n">
        <x:v>0.82</x:v>
      </x:c>
      <x:c r="D10" s="2"/>
      <x:c r="E10" s="18" t="n">
        <x:f>L48</x:f>
        <x:v>-82157.34349696111</x:v>
      </x:c>
      <x:c r="F10" s="18" t="n">
        <x:f>L49</x:f>
        <x:v>-35427.32443311635</x:v>
      </x:c>
      <x:c r="G10" s="18" t="n">
        <x:f>L50</x:f>
        <x:v>11302.694630728409</x:v>
      </x:c>
      <x:c r="H10" s="18" t="n">
        <x:f>L51</x:f>
        <x:v>42456.04067329159</x:v>
      </x:c>
      <x:c r="I10" s="18" t="n">
        <x:f>L52</x:f>
        <x:v>89186.0597371363</x:v>
      </x:c>
      <x:c r="J10" s="18" t="n">
        <x:f>L53</x:f>
        <x:v>151492.7518222626</x:v>
      </x:c>
      <x:c r="K10" s="2"/>
      <x:c r="L10" s="2"/>
      <x:c r="M10" s="2"/>
    </x:row>
    <x:row r="11" ht="24" customHeight="1">
      <x:c r="A11" s="2"/>
      <x:c r="B11" s="2"/>
      <x:c r="C11" s="31" t="n">
        <x:v>0.9</x:v>
      </x:c>
      <x:c r="D11" s="2"/>
      <x:c r="E11" s="18" t="n">
        <x:f>L54</x:f>
        <x:v>-82157.34349696111</x:v>
      </x:c>
      <x:c r="F11" s="18" t="n">
        <x:f>L55</x:f>
        <x:v>-35427.32443311635</x:v>
      </x:c>
      <x:c r="G11" s="18" t="n">
        <x:f>L56</x:f>
        <x:v>11302.694630728409</x:v>
      </x:c>
      <x:c r="H11" s="18" t="n">
        <x:f>L57</x:f>
        <x:v>42456.04067329159</x:v>
      </x:c>
      <x:c r="I11" s="18" t="n">
        <x:f>L58</x:f>
        <x:v>89186.0597371363</x:v>
      </x:c>
      <x:c r="J11" s="18" t="n">
        <x:f>L59</x:f>
        <x:v>151492.7518222626</x:v>
      </x:c>
      <x:c r="K11" s="2"/>
      <x:c r="L11" s="2"/>
      <x:c r="M11" s="2"/>
    </x:row>
    <x:row r="12" ht="24" customHeight="1">
      <x:c r="A12" s="2"/>
      <x:c r="B12" s="2"/>
      <x:c r="C12" s="31" t="n">
        <x:v>0.95</x:v>
      </x:c>
      <x:c r="D12" s="2"/>
      <x:c r="E12" s="18" t="n">
        <x:f>L60</x:f>
        <x:v>-82157.34349696111</x:v>
      </x:c>
      <x:c r="F12" s="18" t="n">
        <x:f>L61</x:f>
        <x:v>-35427.32443311635</x:v>
      </x:c>
      <x:c r="G12" s="18" t="n">
        <x:f>L62</x:f>
        <x:v>11302.694630728409</x:v>
      </x:c>
      <x:c r="H12" s="18" t="n">
        <x:f>L63</x:f>
        <x:v>42456.04067329159</x:v>
      </x:c>
      <x:c r="I12" s="18" t="n">
        <x:f>L64</x:f>
        <x:v>89186.0597371363</x:v>
      </x:c>
      <x:c r="J12" s="18" t="n">
        <x:f>L65</x:f>
        <x:v>151492.7518222626</x:v>
      </x:c>
      <x:c r="K12" s="2"/>
      <x:c r="L12" s="2"/>
      <x:c r="M12" s="2"/>
    </x:row>
    <x:row r="13" ht="24" customHeight="1">
      <x:c r="A13" s="2"/>
      <x:c r="B13" s="2"/>
      <x:c r="C13" s="2"/>
      <x:c r="D13" s="2"/>
      <x:c r="E13" s="2"/>
      <x:c r="F13" s="2"/>
      <x:c r="G13" s="2"/>
      <x:c r="H13" s="2"/>
      <x:c r="I13" s="2"/>
      <x:c r="J13" s="2"/>
      <x:c r="K13" s="2"/>
      <x:c r="L13" s="2"/>
      <x:c r="M13" s="2"/>
    </x:row>
    <x:row r="14" ht="24" customHeight="1">
      <x:c r="A14" s="2"/>
      <x:c r="B14" s="2"/>
      <x:c r="C14" s="2"/>
      <x:c r="D14" s="2"/>
      <x:c r="E14" s="2"/>
      <x:c r="F14" s="2"/>
      <x:c r="G14" s="2"/>
      <x:c r="H14" s="2"/>
      <x:c r="I14" s="2"/>
      <x:c r="J14" s="2"/>
      <x:c r="K14" s="2"/>
      <x:c r="L14" s="2"/>
      <x:c r="M14" s="2"/>
    </x:row>
    <x:row r="15" ht="24" customHeight="1">
      <x:c r="A15" s="2"/>
      <x:c r="B15" s="2"/>
      <x:c r="C15" s="2" t="str">
        <x:v>단순 회수기간 (년)</x:v>
      </x:c>
      <x:c r="D15" s="2"/>
      <x:c r="E15" s="2"/>
      <x:c r="F15" s="2"/>
      <x:c r="G15" s="2"/>
      <x:c r="H15" s="2"/>
      <x:c r="I15" s="2"/>
      <x:c r="J15" s="2"/>
      <x:c r="K15" s="2"/>
      <x:c r="L15" s="2"/>
      <x:c r="M15" s="2"/>
    </x:row>
    <x:row r="16" ht="24" customHeight="1">
      <x:c r="A16" s="2"/>
      <x:c r="B16" s="2"/>
      <x:c r="C16" s="2"/>
      <x:c r="D16" s="2"/>
      <x:c r="E16" s="23" t="n">
        <x:f>E6</x:f>
        <x:v>0.25</x:v>
      </x:c>
      <x:c r="F16" s="23" t="n">
        <x:f>F6</x:f>
        <x:v>0.4</x:v>
      </x:c>
      <x:c r="G16" s="23" t="n">
        <x:f>G6</x:f>
        <x:v>0.55</x:v>
      </x:c>
      <x:c r="H16" s="23" t="n">
        <x:f>H6</x:f>
        <x:v>0.65</x:v>
      </x:c>
      <x:c r="I16" s="23" t="n">
        <x:f>I6</x:f>
        <x:v>0.8</x:v>
      </x:c>
      <x:c r="J16" s="23" t="n">
        <x:f>J6</x:f>
        <x:v>1</x:v>
      </x:c>
      <x:c r="K16" s="2"/>
      <x:c r="L16" s="2"/>
      <x:c r="M16" s="2"/>
    </x:row>
    <x:row r="17" ht="24" customHeight="1">
      <x:c r="A17" s="2"/>
      <x:c r="B17" s="2"/>
      <x:c r="C17" s="23" t="n">
        <x:f>C7</x:f>
        <x:v>0.55</x:v>
      </x:c>
      <x:c r="D17" s="2"/>
      <x:c r="E17" s="21" t="str">
        <x:f>K30</x:f>
        <x:v>회수불가</x:v>
      </x:c>
      <x:c r="F17" s="21" t="n">
        <x:f>K31</x:f>
        <x:v>14.74566244787363</x:v>
      </x:c>
      <x:c r="G17" s="21" t="n">
        <x:f>K32</x:f>
        <x:v>5.713625595964333</x:v>
      </x:c>
      <x:c r="H17" s="21" t="n">
        <x:f>K33</x:f>
        <x:v>4.056970763024437</x:v>
      </x:c>
      <x:c r="I17" s="21" t="n">
        <x:f>K34</x:f>
        <x:v>2.8273107374899045</x:v>
      </x:c>
      <x:c r="J17" s="21" t="n">
        <x:f>K35</x:f>
        <x:v>2.013566547105186</x:v>
      </x:c>
      <x:c r="K17" s="2"/>
      <x:c r="L17" s="2"/>
      <x:c r="M17" s="2"/>
    </x:row>
    <x:row r="18" ht="24" customHeight="1">
      <x:c r="A18" s="2"/>
      <x:c r="B18" s="2"/>
      <x:c r="C18" s="23" t="n">
        <x:f>C8</x:f>
        <x:v>0.65</x:v>
      </x:c>
      <x:c r="D18" s="2"/>
      <x:c r="E18" s="21" t="str">
        <x:f>K36</x:f>
        <x:v>회수불가</x:v>
      </x:c>
      <x:c r="F18" s="21" t="n">
        <x:f>K37</x:f>
        <x:v>8.916455951704782</x:v>
      </x:c>
      <x:c r="G18" s="21" t="n">
        <x:f>K38</x:f>
        <x:v>4.186773227206632</x:v>
      </x:c>
      <x:c r="H18" s="21" t="n">
        <x:f>K39</x:f>
        <x:v>3.09299793063405</x:v>
      </x:c>
      <x:c r="I18" s="21" t="n">
        <x:f>K40</x:f>
        <x:v>2.2221918087854764</x:v>
      </x:c>
      <x:c r="J18" s="21" t="n">
        <x:f>K41</x:f>
        <x:v>1.6156833825344168</x:v>
      </x:c>
      <x:c r="K18" s="2"/>
      <x:c r="L18" s="2"/>
      <x:c r="M18" s="2"/>
    </x:row>
    <x:row r="19" ht="24" customHeight="1">
      <x:c r="A19" s="2"/>
      <x:c r="B19" s="2"/>
      <x:c r="C19" s="23" t="n">
        <x:f>C9</x:f>
        <x:v>0.75</x:v>
      </x:c>
      <x:c r="D19" s="2"/>
      <x:c r="E19" s="21" t="n">
        <x:f>K42</x:f>
        <x:v>113.35061941365706</x:v>
      </x:c>
      <x:c r="F19" s="21" t="n">
        <x:f>K43</x:f>
        <x:v>6.499888733360418</x:v>
      </x:c>
      <x:c r="G19" s="21" t="n">
        <x:f>K44</x:f>
        <x:v>3.3458760072628837</x:v>
      </x:c>
      <x:c r="H19" s="21" t="n">
        <x:f>K45</x:f>
        <x:v>2.5280628026541145</x:v>
      </x:c>
      <x:c r="I19" s="21" t="n">
        <x:f>K46</x:f>
        <x:v>1.8498430694509933</x:v>
      </x:c>
      <x:c r="J19" s="21" t="n">
        <x:f>K47</x:f>
        <x:v>1.3624809763382604</x:v>
      </x:c>
      <x:c r="K19" s="2"/>
      <x:c r="L19" s="2"/>
      <x:c r="M19" s="2"/>
    </x:row>
    <x:row r="20" ht="24" customHeight="1">
      <x:c r="A20" s="2"/>
      <x:c r="B20" s="2"/>
      <x:c r="C20" s="23" t="n">
        <x:f>C10</x:f>
        <x:v>0.82</x:v>
      </x:c>
      <x:c r="D20" s="2"/>
      <x:c r="E20" s="21" t="n">
        <x:f>K48</x:f>
        <x:v>113.35061941365706</x:v>
      </x:c>
      <x:c r="F20" s="21" t="n">
        <x:f>K49</x:f>
        <x:v>6.499888733360418</x:v>
      </x:c>
      <x:c r="G20" s="21" t="n">
        <x:f>K50</x:f>
        <x:v>3.3458760072628837</x:v>
      </x:c>
      <x:c r="H20" s="21" t="n">
        <x:f>K51</x:f>
        <x:v>2.5280628026541145</x:v>
      </x:c>
      <x:c r="I20" s="21" t="n">
        <x:f>K52</x:f>
        <x:v>1.8498430694509933</x:v>
      </x:c>
      <x:c r="J20" s="21" t="n">
        <x:f>K53</x:f>
        <x:v>1.3624809763382604</x:v>
      </x:c>
      <x:c r="K20" s="2"/>
      <x:c r="L20" s="2"/>
      <x:c r="M20" s="2"/>
    </x:row>
    <x:row r="21" ht="24" customHeight="1">
      <x:c r="A21" s="2"/>
      <x:c r="B21" s="2"/>
      <x:c r="C21" s="23" t="n">
        <x:f>C11</x:f>
        <x:v>0.9</x:v>
      </x:c>
      <x:c r="D21" s="2"/>
      <x:c r="E21" s="21" t="n">
        <x:f>K54</x:f>
        <x:v>113.35061941365706</x:v>
      </x:c>
      <x:c r="F21" s="21" t="n">
        <x:f>K55</x:f>
        <x:v>6.499888733360418</x:v>
      </x:c>
      <x:c r="G21" s="21" t="n">
        <x:f>K56</x:f>
        <x:v>3.3458760072628837</x:v>
      </x:c>
      <x:c r="H21" s="21" t="n">
        <x:f>K57</x:f>
        <x:v>2.5280628026541145</x:v>
      </x:c>
      <x:c r="I21" s="21" t="n">
        <x:f>K58</x:f>
        <x:v>1.8498430694509933</x:v>
      </x:c>
      <x:c r="J21" s="21" t="n">
        <x:f>K59</x:f>
        <x:v>1.3624809763382604</x:v>
      </x:c>
      <x:c r="K21" s="2"/>
      <x:c r="L21" s="2"/>
      <x:c r="M21" s="2"/>
    </x:row>
    <x:row r="22" ht="24" customHeight="1">
      <x:c r="A22" s="2"/>
      <x:c r="B22" s="2"/>
      <x:c r="C22" s="23" t="n">
        <x:f>C12</x:f>
        <x:v>0.95</x:v>
      </x:c>
      <x:c r="D22" s="2"/>
      <x:c r="E22" s="21" t="n">
        <x:f>K60</x:f>
        <x:v>113.35061941365706</x:v>
      </x:c>
      <x:c r="F22" s="21" t="n">
        <x:f>K61</x:f>
        <x:v>6.499888733360418</x:v>
      </x:c>
      <x:c r="G22" s="21" t="n">
        <x:f>K62</x:f>
        <x:v>3.3458760072628837</x:v>
      </x:c>
      <x:c r="H22" s="21" t="n">
        <x:f>K63</x:f>
        <x:v>2.5280628026541145</x:v>
      </x:c>
      <x:c r="I22" s="21" t="n">
        <x:f>K64</x:f>
        <x:v>1.8498430694509933</x:v>
      </x:c>
      <x:c r="J22" s="21" t="n">
        <x:f>K65</x:f>
        <x:v>1.3624809763382604</x:v>
      </x:c>
      <x:c r="K22" s="2"/>
      <x:c r="L22" s="2"/>
      <x:c r="M22" s="2"/>
    </x:row>
    <x:row r="23" ht="24" customHeight="1">
      <x:c r="A23" s="2"/>
      <x:c r="B23" s="2"/>
      <x:c r="C23" s="2"/>
      <x:c r="D23" s="2"/>
      <x:c r="E23" s="2"/>
      <x:c r="F23" s="2"/>
      <x:c r="G23" s="2"/>
      <x:c r="H23" s="2"/>
      <x:c r="I23" s="2"/>
      <x:c r="J23" s="2"/>
      <x:c r="K23" s="2"/>
      <x:c r="L23" s="2"/>
      <x:c r="M23" s="2"/>
    </x:row>
    <x:row r="24" ht="24" customHeight="1">
      <x:c r="A24" s="2"/>
      <x:c r="B24" s="2"/>
      <x:c r="C24" s="2"/>
      <x:c r="D24" s="2"/>
      <x:c r="E24" s="2"/>
      <x:c r="F24" s="2"/>
      <x:c r="G24" s="2"/>
      <x:c r="H24" s="2"/>
      <x:c r="I24" s="2"/>
      <x:c r="J24" s="2"/>
      <x:c r="K24" s="2"/>
      <x:c r="L24" s="2"/>
      <x:c r="M24" s="2"/>
    </x:row>
    <x:row r="25" ht="24" customHeight="1">
      <x:c r="A25" s="2"/>
      <x:c r="B25" s="2"/>
      <x:c r="C25" s="4" t="str">
        <x:v>0% 실현율은 유효한 입력이며 회수불가로 표시합니다. 빈 입력은 0%로 간주하지 않습니다.</x:v>
      </x:c>
      <x:c r="D25" s="2"/>
      <x:c r="E25" s="2"/>
      <x:c r="F25" s="2"/>
      <x:c r="G25" s="2"/>
      <x:c r="H25" s="2"/>
      <x:c r="I25" s="2"/>
      <x:c r="J25" s="2"/>
      <x:c r="K25" s="2"/>
      <x:c r="L25" s="2"/>
      <x:c r="M25" s="2"/>
    </x:row>
    <x:row r="26" ht="24" customHeight="1">
      <x:c r="A26" s="2"/>
      <x:c r="B26" s="2"/>
      <x:c r="C26" s="2"/>
      <x:c r="D26" s="2"/>
      <x:c r="E26" s="2"/>
      <x:c r="F26" s="2"/>
      <x:c r="G26" s="2"/>
      <x:c r="H26" s="2"/>
      <x:c r="I26" s="2"/>
      <x:c r="J26" s="2"/>
      <x:c r="K26" s="2"/>
      <x:c r="L26" s="2"/>
      <x:c r="M26" s="2"/>
    </x:row>
    <x:row r="27" ht="24" customHeight="1">
      <x:c r="A27" s="2"/>
      <x:c r="B27" s="2"/>
      <x:c r="C27" s="2"/>
      <x:c r="D27" s="2"/>
      <x:c r="E27" s="2"/>
      <x:c r="F27" s="2"/>
      <x:c r="G27" s="2"/>
      <x:c r="H27" s="2"/>
      <x:c r="I27" s="2"/>
      <x:c r="J27" s="2"/>
      <x:c r="K27" s="2"/>
      <x:c r="L27" s="2"/>
      <x:c r="M27" s="2"/>
    </x:row>
    <x:row r="28" ht="24" customHeight="1">
      <x:c r="A28" s="2"/>
      <x:c r="B28" s="2"/>
      <x:c r="C28" s="2"/>
      <x:c r="D28" s="2"/>
      <x:c r="E28" s="2"/>
      <x:c r="F28" s="2"/>
      <x:c r="G28" s="2"/>
      <x:c r="H28" s="2"/>
      <x:c r="I28" s="2"/>
      <x:c r="J28" s="2"/>
      <x:c r="K28" s="2"/>
      <x:c r="L28" s="2"/>
      <x:c r="M28" s="2"/>
    </x:row>
    <x:row r="29" ht="34" customHeight="1">
      <x:c r="A29" s="2"/>
      <x:c r="B29" s="2"/>
      <x:c r="C29" s="8" t="str">
        <x:v>가동률</x:v>
      </x:c>
      <x:c r="D29" s="8" t="str">
        <x:v>절감 실현율</x:v>
      </x:c>
      <x:c r="E29" s="8" t="str">
        <x:v>최대 능력</x:v>
      </x:c>
      <x:c r="F29" s="8" t="str">
        <x:v>유효 작업</x:v>
      </x:c>
      <x:c r="G29" s="8" t="str">
        <x:v>작업 시간</x:v>
      </x:c>
      <x:c r="H29" s="8" t="str">
        <x:v>현금비용</x:v>
      </x:c>
      <x:c r="I29" s="8" t="str">
        <x:v>사람 노동비</x:v>
      </x:c>
      <x:c r="J29" s="8" t="str">
        <x:v>순현금 절감</x:v>
      </x:c>
      <x:c r="K29" s="8" t="str">
        <x:v>회수기간</x:v>
      </x:c>
      <x:c r="L29" s="8" t="str">
        <x:v>NPV</x:v>
      </x:c>
      <x:c r="M29" s="8" t="str">
        <x:v>미충족 수요</x:v>
      </x:c>
    </x:row>
    <x:row r="30" ht="24" customHeight="1">
      <x:c r="A30" s="2"/>
      <x:c r="B30" s="2"/>
      <x:c r="C30" s="23" t="n">
        <x:f>$C$7</x:f>
        <x:v>0.55</x:v>
      </x:c>
      <x:c r="D30" s="23" t="n">
        <x:f>E$6</x:f>
        <x:v>0.25</x:v>
      </x:c>
      <x:c r="E30" s="39" t="n">
        <x:f>IF(AND('고객경제성'!$E$52="입력 유효",COUNT($C$7,E$6)=2,C30&gt;=0,C30&lt;=1,D30&gt;=0,D30&lt;=1),'고객경제성'!$E$30*C30*3600/'고객경제성'!$E$32*'고객경제성'!$E$33,"입력 확인")</x:f>
        <x:v>110880</x:v>
      </x:c>
      <x:c r="F30" s="39" t="n">
        <x:f>IF(AND('고객경제성'!$E$52="입력 유효",COUNT($C$7,E$6)=2,C30&gt;=0,C30&lt;=1,D30&gt;=0,D30&lt;=1),MIN('고객경제성'!$E$50,E30),"입력 확인")</x:f>
        <x:v>110880</x:v>
      </x:c>
      <x:c r="G30" s="39" t="n">
        <x:f>IF(AND('고객경제성'!$E$52="입력 유효",COUNT($C$7,E$6)=2,C30&gt;=0,C30&lt;=1,D30&gt;=0,D30&lt;=1),F30/'고객경제성'!$E$33*'고객경제성'!$E$32/3600,"입력 확인")</x:f>
        <x:v>2200</x:v>
      </x:c>
      <x:c r="H30" s="39" t="n">
        <x:f>IF(AND('고객경제성'!$E$52="입력 유효",COUNT($C$7,E$6)=2,C30&gt;=0,C30&lt;=1,D30&gt;=0,D30&lt;=1),'고객경제성'!$E$65+'고객경제성'!$E$62+G30*'고객경제성'!$E$34*'고객경제성'!$E$35/60*'고객경제성'!$E$36+G30*'고객경제성'!$E$43*'고객경제성'!$E$44+(F30/'고객경제성'!$E$33-F30)*'고객경제성'!$E$45,"입력 확인")</x:f>
        <x:v>18535.09047619048</x:v>
      </x:c>
      <x:c r="I30" s="39" t="n">
        <x:f>IF(AND('고객경제성'!$E$52="입력 유효",COUNT($C$7,E$6)=2,C30&gt;=0,C30&lt;=1,D30&gt;=0,D30&lt;=1),F30/(3600/'고객경제성'!$E$46*'고객경제성'!$E$47)*'고객경제성'!$E$48,"입력 확인")</x:f>
        <x:v>60748.74371859296</x:v>
      </x:c>
      <x:c r="J30" s="39" t="n">
        <x:f>IF(AND('고객경제성'!$E$52="입력 유효",COUNT($C$7,E$6)=2,C30&gt;=0,C30&lt;=1,D30&gt;=0,D30&lt;=1),I30*D30-H30,"입력 확인")</x:f>
        <x:v>-3347.9045465422387</x:v>
      </x:c>
      <x:c r="K30" s="41" t="str">
        <x:f>IF(AND('고객경제성'!$E$52="입력 유효",COUNT($C$7,E$6)=2,C30&gt;=0,C30&lt;=1,D30&gt;=0,D30&lt;=1),IF(J30&lt;=0,"회수불가",'고객경제성'!$E$55/J30),"입력 확인")</x:f>
        <x:v>회수불가</x:v>
      </x:c>
      <x:c r="L30" s="39" t="n">
        <x:f>IF(AND('고객경제성'!$E$52="입력 유효",COUNT($C$7,E$6)=2,C30&gt;=0,C30&lt;=1,D30&gt;=0,D30&lt;=1),-'고객경제성'!$E$55+IF('고객경제성'!$E$29=0,J30*'고객경제성'!$E$27,J30*(1-(1+'고객경제성'!$E$29)^(-'고객경제성'!$E$27))/'고객경제성'!$E$29)+'고객경제성'!$E$28/(1+'고객경제성'!$E$29)^'고객경제성'!$E$27,"입력 확인")</x:f>
        <x:v>-97691.19226027472</x:v>
      </x:c>
      <x:c r="M30" s="39" t="n">
        <x:f>IF(AND('고객경제성'!$E$52="입력 유효",COUNT($C$7,E$6)=2,C30&gt;=0,C30&lt;=1,D30&gt;=0,D30&lt;=1),MAX(0,'고객경제성'!$E$50-F30),"입력 확인")</x:f>
        <x:v>39120</x:v>
      </x:c>
    </x:row>
    <x:row r="31" ht="24" customHeight="1">
      <x:c r="A31" s="2"/>
      <x:c r="B31" s="2"/>
      <x:c r="C31" s="23" t="n">
        <x:f>$C$7</x:f>
        <x:v>0.55</x:v>
      </x:c>
      <x:c r="D31" s="23" t="n">
        <x:f>F$6</x:f>
        <x:v>0.4</x:v>
      </x:c>
      <x:c r="E31" s="39" t="n">
        <x:f>IF(AND('고객경제성'!$E$52="입력 유효",COUNT($C$7,F$6)=2,C31&gt;=0,C31&lt;=1,D31&gt;=0,D31&lt;=1),'고객경제성'!$E$30*C31*3600/'고객경제성'!$E$32*'고객경제성'!$E$33,"입력 확인")</x:f>
        <x:v>110880</x:v>
      </x:c>
      <x:c r="F31" s="39" t="n">
        <x:f>IF(AND('고객경제성'!$E$52="입력 유효",COUNT($C$7,F$6)=2,C31&gt;=0,C31&lt;=1,D31&gt;=0,D31&lt;=1),MIN('고객경제성'!$E$50,E31),"입력 확인")</x:f>
        <x:v>110880</x:v>
      </x:c>
      <x:c r="G31" s="39" t="n">
        <x:f>IF(AND('고객경제성'!$E$52="입력 유효",COUNT($C$7,F$6)=2,C31&gt;=0,C31&lt;=1,D31&gt;=0,D31&lt;=1),F31/'고객경제성'!$E$33*'고객경제성'!$E$32/3600,"입력 확인")</x:f>
        <x:v>2200</x:v>
      </x:c>
      <x:c r="H31" s="39" t="n">
        <x:f>IF(AND('고객경제성'!$E$52="입력 유효",COUNT($C$7,F$6)=2,C31&gt;=0,C31&lt;=1,D31&gt;=0,D31&lt;=1),'고객경제성'!$E$65+'고객경제성'!$E$62+G31*'고객경제성'!$E$34*'고객경제성'!$E$35/60*'고객경제성'!$E$36+G31*'고객경제성'!$E$43*'고객경제성'!$E$44+(F31/'고객경제성'!$E$33-F31)*'고객경제성'!$E$45,"입력 확인")</x:f>
        <x:v>18535.09047619048</x:v>
      </x:c>
      <x:c r="I31" s="39" t="n">
        <x:f>IF(AND('고객경제성'!$E$52="입력 유효",COUNT($C$7,F$6)=2,C31&gt;=0,C31&lt;=1,D31&gt;=0,D31&lt;=1),F31/(3600/'고객경제성'!$E$46*'고객경제성'!$E$47)*'고객경제성'!$E$48,"입력 확인")</x:f>
        <x:v>60748.74371859296</x:v>
      </x:c>
      <x:c r="J31" s="39" t="n">
        <x:f>IF(AND('고객경제성'!$E$52="입력 유효",COUNT($C$7,F$6)=2,C31&gt;=0,C31&lt;=1,D31&gt;=0,D31&lt;=1),I31*D31-H31,"입력 확인")</x:f>
        <x:v>5764.407011246705</x:v>
      </x:c>
      <x:c r="K31" s="41" t="n">
        <x:f>IF(AND('고객경제성'!$E$52="입력 유효",COUNT($C$7,F$6)=2,C31&gt;=0,C31&lt;=1,D31&gt;=0,D31&lt;=1),IF(J31&lt;=0,"회수불가",'고객경제성'!$E$55/J31),"입력 확인")</x:f>
        <x:v>14.74566244787363</x:v>
      </x:c>
      <x:c r="L31" s="39" t="n">
        <x:f>IF(AND('고객경제성'!$E$52="입력 유효",COUNT($C$7,F$6)=2,C31&gt;=0,C31&lt;=1,D31&gt;=0,D31&lt;=1),-'고객경제성'!$E$55+IF('고객경제성'!$E$29=0,J31*'고객경제성'!$E$27,J31*(1-(1+'고객경제성'!$E$29)^(-'고객경제성'!$E$27))/'고객경제성'!$E$29)+'고객경제성'!$E$28/(1+'고객경제성'!$E$29)^'고객경제성'!$E$27,"입력 확인")</x:f>
        <x:v>-63148.362168280684</x:v>
      </x:c>
      <x:c r="M31" s="39" t="n">
        <x:f>IF(AND('고객경제성'!$E$52="입력 유효",COUNT($C$7,F$6)=2,C31&gt;=0,C31&lt;=1,D31&gt;=0,D31&lt;=1),MAX(0,'고객경제성'!$E$50-F31),"입력 확인")</x:f>
        <x:v>39120</x:v>
      </x:c>
    </x:row>
    <x:row r="32" ht="24" customHeight="1">
      <x:c r="A32" s="2"/>
      <x:c r="B32" s="2"/>
      <x:c r="C32" s="23" t="n">
        <x:f>$C$7</x:f>
        <x:v>0.55</x:v>
      </x:c>
      <x:c r="D32" s="23" t="n">
        <x:f>G$6</x:f>
        <x:v>0.55</x:v>
      </x:c>
      <x:c r="E32" s="39" t="n">
        <x:f>IF(AND('고객경제성'!$E$52="입력 유효",COUNT($C$7,G$6)=2,C32&gt;=0,C32&lt;=1,D32&gt;=0,D32&lt;=1),'고객경제성'!$E$30*C32*3600/'고객경제성'!$E$32*'고객경제성'!$E$33,"입력 확인")</x:f>
        <x:v>110880</x:v>
      </x:c>
      <x:c r="F32" s="39" t="n">
        <x:f>IF(AND('고객경제성'!$E$52="입력 유효",COUNT($C$7,G$6)=2,C32&gt;=0,C32&lt;=1,D32&gt;=0,D32&lt;=1),MIN('고객경제성'!$E$50,E32),"입력 확인")</x:f>
        <x:v>110880</x:v>
      </x:c>
      <x:c r="G32" s="39" t="n">
        <x:f>IF(AND('고객경제성'!$E$52="입력 유효",COUNT($C$7,G$6)=2,C32&gt;=0,C32&lt;=1,D32&gt;=0,D32&lt;=1),F32/'고객경제성'!$E$33*'고객경제성'!$E$32/3600,"입력 확인")</x:f>
        <x:v>2200</x:v>
      </x:c>
      <x:c r="H32" s="39" t="n">
        <x:f>IF(AND('고객경제성'!$E$52="입력 유효",COUNT($C$7,G$6)=2,C32&gt;=0,C32&lt;=1,D32&gt;=0,D32&lt;=1),'고객경제성'!$E$65+'고객경제성'!$E$62+G32*'고객경제성'!$E$34*'고객경제성'!$E$35/60*'고객경제성'!$E$36+G32*'고객경제성'!$E$43*'고객경제성'!$E$44+(F32/'고객경제성'!$E$33-F32)*'고객경제성'!$E$45,"입력 확인")</x:f>
        <x:v>18535.09047619048</x:v>
      </x:c>
      <x:c r="I32" s="39" t="n">
        <x:f>IF(AND('고객경제성'!$E$52="입력 유효",COUNT($C$7,G$6)=2,C32&gt;=0,C32&lt;=1,D32&gt;=0,D32&lt;=1),F32/(3600/'고객경제성'!$E$46*'고객경제성'!$E$47)*'고객경제성'!$E$48,"입력 확인")</x:f>
        <x:v>60748.74371859296</x:v>
      </x:c>
      <x:c r="J32" s="39" t="n">
        <x:f>IF(AND('고객경제성'!$E$52="입력 유효",COUNT($C$7,G$6)=2,C32&gt;=0,C32&lt;=1,D32&gt;=0,D32&lt;=1),I32*D32-H32,"입력 확인")</x:f>
        <x:v>14876.718569035653</x:v>
      </x:c>
      <x:c r="K32" s="41" t="n">
        <x:f>IF(AND('고객경제성'!$E$52="입력 유효",COUNT($C$7,G$6)=2,C32&gt;=0,C32&lt;=1,D32&gt;=0,D32&lt;=1),IF(J32&lt;=0,"회수불가",'고객경제성'!$E$55/J32),"입력 확인")</x:f>
        <x:v>5.713625595964333</x:v>
      </x:c>
      <x:c r="L32" s="39" t="n">
        <x:f>IF(AND('고객경제성'!$E$52="입력 유효",COUNT($C$7,G$6)=2,C32&gt;=0,C32&lt;=1,D32&gt;=0,D32&lt;=1),-'고객경제성'!$E$55+IF('고객경제성'!$E$29=0,J32*'고객경제성'!$E$27,J32*(1-(1+'고객경제성'!$E$29)^(-'고객경제성'!$E$27))/'고객경제성'!$E$29)+'고객경제성'!$E$28/(1+'고객경제성'!$E$29)^'고객경제성'!$E$27,"입력 확인")</x:f>
        <x:v>-28605.532076286632</x:v>
      </x:c>
      <x:c r="M32" s="39" t="n">
        <x:f>IF(AND('고객경제성'!$E$52="입력 유효",COUNT($C$7,G$6)=2,C32&gt;=0,C32&lt;=1,D32&gt;=0,D32&lt;=1),MAX(0,'고객경제성'!$E$50-F32),"입력 확인")</x:f>
        <x:v>39120</x:v>
      </x:c>
    </x:row>
    <x:row r="33" ht="24" customHeight="1">
      <x:c r="A33" s="2"/>
      <x:c r="B33" s="2"/>
      <x:c r="C33" s="23" t="n">
        <x:f>$C$7</x:f>
        <x:v>0.55</x:v>
      </x:c>
      <x:c r="D33" s="23" t="n">
        <x:f>H$6</x:f>
        <x:v>0.65</x:v>
      </x:c>
      <x:c r="E33" s="39" t="n">
        <x:f>IF(AND('고객경제성'!$E$52="입력 유효",COUNT($C$7,H$6)=2,C33&gt;=0,C33&lt;=1,D33&gt;=0,D33&lt;=1),'고객경제성'!$E$30*C33*3600/'고객경제성'!$E$32*'고객경제성'!$E$33,"입력 확인")</x:f>
        <x:v>110880</x:v>
      </x:c>
      <x:c r="F33" s="39" t="n">
        <x:f>IF(AND('고객경제성'!$E$52="입력 유효",COUNT($C$7,H$6)=2,C33&gt;=0,C33&lt;=1,D33&gt;=0,D33&lt;=1),MIN('고객경제성'!$E$50,E33),"입력 확인")</x:f>
        <x:v>110880</x:v>
      </x:c>
      <x:c r="G33" s="39" t="n">
        <x:f>IF(AND('고객경제성'!$E$52="입력 유효",COUNT($C$7,H$6)=2,C33&gt;=0,C33&lt;=1,D33&gt;=0,D33&lt;=1),F33/'고객경제성'!$E$33*'고객경제성'!$E$32/3600,"입력 확인")</x:f>
        <x:v>2200</x:v>
      </x:c>
      <x:c r="H33" s="39" t="n">
        <x:f>IF(AND('고객경제성'!$E$52="입력 유효",COUNT($C$7,H$6)=2,C33&gt;=0,C33&lt;=1,D33&gt;=0,D33&lt;=1),'고객경제성'!$E$65+'고객경제성'!$E$62+G33*'고객경제성'!$E$34*'고객경제성'!$E$35/60*'고객경제성'!$E$36+G33*'고객경제성'!$E$43*'고객경제성'!$E$44+(F33/'고객경제성'!$E$33-F33)*'고객경제성'!$E$45,"입력 확인")</x:f>
        <x:v>18535.09047619048</x:v>
      </x:c>
      <x:c r="I33" s="39" t="n">
        <x:f>IF(AND('고객경제성'!$E$52="입력 유효",COUNT($C$7,H$6)=2,C33&gt;=0,C33&lt;=1,D33&gt;=0,D33&lt;=1),F33/(3600/'고객경제성'!$E$46*'고객경제성'!$E$47)*'고객경제성'!$E$48,"입력 확인")</x:f>
        <x:v>60748.74371859296</x:v>
      </x:c>
      <x:c r="J33" s="39" t="n">
        <x:f>IF(AND('고객경제성'!$E$52="입력 유효",COUNT($C$7,H$6)=2,C33&gt;=0,C33&lt;=1,D33&gt;=0,D33&lt;=1),I33*D33-H33,"입력 확인")</x:f>
        <x:v>20951.59294089495</x:v>
      </x:c>
      <x:c r="K33" s="41" t="n">
        <x:f>IF(AND('고객경제성'!$E$52="입력 유효",COUNT($C$7,H$6)=2,C33&gt;=0,C33&lt;=1,D33&gt;=0,D33&lt;=1),IF(J33&lt;=0,"회수불가",'고객경제성'!$E$55/J33),"입력 확인")</x:f>
        <x:v>4.056970763024437</x:v>
      </x:c>
      <x:c r="L33" s="39" t="n">
        <x:f>IF(AND('고객경제성'!$E$52="입력 유효",COUNT($C$7,H$6)=2,C33&gt;=0,C33&lt;=1,D33&gt;=0,D33&lt;=1),-'고객경제성'!$E$55+IF('고객경제성'!$E$29=0,J33*'고객경제성'!$E$27,J33*(1-(1+'고객경제성'!$E$29)^(-'고객경제성'!$E$27))/'고객경제성'!$E$29)+'고객경제성'!$E$28/(1+'고객경제성'!$E$29)^'고객경제성'!$E$27,"입력 확인")</x:f>
        <x:v>-5576.978681623936</x:v>
      </x:c>
      <x:c r="M33" s="39" t="n">
        <x:f>IF(AND('고객경제성'!$E$52="입력 유효",COUNT($C$7,H$6)=2,C33&gt;=0,C33&lt;=1,D33&gt;=0,D33&lt;=1),MAX(0,'고객경제성'!$E$50-F33),"입력 확인")</x:f>
        <x:v>39120</x:v>
      </x:c>
    </x:row>
    <x:row r="34" ht="24" customHeight="1">
      <x:c r="A34" s="2"/>
      <x:c r="B34" s="2"/>
      <x:c r="C34" s="23" t="n">
        <x:f>$C$7</x:f>
        <x:v>0.55</x:v>
      </x:c>
      <x:c r="D34" s="23" t="n">
        <x:f>I$6</x:f>
        <x:v>0.8</x:v>
      </x:c>
      <x:c r="E34" s="39" t="n">
        <x:f>IF(AND('고객경제성'!$E$52="입력 유효",COUNT($C$7,I$6)=2,C34&gt;=0,C34&lt;=1,D34&gt;=0,D34&lt;=1),'고객경제성'!$E$30*C34*3600/'고객경제성'!$E$32*'고객경제성'!$E$33,"입력 확인")</x:f>
        <x:v>110880</x:v>
      </x:c>
      <x:c r="F34" s="39" t="n">
        <x:f>IF(AND('고객경제성'!$E$52="입력 유효",COUNT($C$7,I$6)=2,C34&gt;=0,C34&lt;=1,D34&gt;=0,D34&lt;=1),MIN('고객경제성'!$E$50,E34),"입력 확인")</x:f>
        <x:v>110880</x:v>
      </x:c>
      <x:c r="G34" s="39" t="n">
        <x:f>IF(AND('고객경제성'!$E$52="입력 유효",COUNT($C$7,I$6)=2,C34&gt;=0,C34&lt;=1,D34&gt;=0,D34&lt;=1),F34/'고객경제성'!$E$33*'고객경제성'!$E$32/3600,"입력 확인")</x:f>
        <x:v>2200</x:v>
      </x:c>
      <x:c r="H34" s="39" t="n">
        <x:f>IF(AND('고객경제성'!$E$52="입력 유효",COUNT($C$7,I$6)=2,C34&gt;=0,C34&lt;=1,D34&gt;=0,D34&lt;=1),'고객경제성'!$E$65+'고객경제성'!$E$62+G34*'고객경제성'!$E$34*'고객경제성'!$E$35/60*'고객경제성'!$E$36+G34*'고객경제성'!$E$43*'고객경제성'!$E$44+(F34/'고객경제성'!$E$33-F34)*'고객경제성'!$E$45,"입력 확인")</x:f>
        <x:v>18535.09047619048</x:v>
      </x:c>
      <x:c r="I34" s="39" t="n">
        <x:f>IF(AND('고객경제성'!$E$52="입력 유효",COUNT($C$7,I$6)=2,C34&gt;=0,C34&lt;=1,D34&gt;=0,D34&lt;=1),F34/(3600/'고객경제성'!$E$46*'고객경제성'!$E$47)*'고객경제성'!$E$48,"입력 확인")</x:f>
        <x:v>60748.74371859296</x:v>
      </x:c>
      <x:c r="J34" s="39" t="n">
        <x:f>IF(AND('고객경제성'!$E$52="입력 유효",COUNT($C$7,I$6)=2,C34&gt;=0,C34&lt;=1,D34&gt;=0,D34&lt;=1),I34*D34-H34,"입력 확인")</x:f>
        <x:v>30063.90449868389</x:v>
      </x:c>
      <x:c r="K34" s="41" t="n">
        <x:f>IF(AND('고객경제성'!$E$52="입력 유효",COUNT($C$7,I$6)=2,C34&gt;=0,C34&lt;=1,D34&gt;=0,D34&lt;=1),IF(J34&lt;=0,"회수불가",'고객경제성'!$E$55/J34),"입력 확인")</x:f>
        <x:v>2.8273107374899045</x:v>
      </x:c>
      <x:c r="L34" s="39" t="n">
        <x:f>IF(AND('고객경제성'!$E$52="입력 유효",COUNT($C$7,I$6)=2,C34&gt;=0,C34&lt;=1,D34&gt;=0,D34&lt;=1),-'고객경제성'!$E$55+IF('고객경제성'!$E$29=0,J34*'고객경제성'!$E$27,J34*(1-(1+'고객경제성'!$E$29)^(-'고객경제성'!$E$27))/'고객경제성'!$E$29)+'고객경제성'!$E$28/(1+'고객경제성'!$E$29)^'고객경제성'!$E$27,"입력 확인")</x:f>
        <x:v>28965.851410370087</x:v>
      </x:c>
      <x:c r="M34" s="39" t="n">
        <x:f>IF(AND('고객경제성'!$E$52="입력 유효",COUNT($C$7,I$6)=2,C34&gt;=0,C34&lt;=1,D34&gt;=0,D34&lt;=1),MAX(0,'고객경제성'!$E$50-F34),"입력 확인")</x:f>
        <x:v>39120</x:v>
      </x:c>
    </x:row>
    <x:row r="35" ht="24" customHeight="1">
      <x:c r="A35" s="2"/>
      <x:c r="B35" s="2"/>
      <x:c r="C35" s="23" t="n">
        <x:f>$C$7</x:f>
        <x:v>0.55</x:v>
      </x:c>
      <x:c r="D35" s="23" t="n">
        <x:f>J$6</x:f>
        <x:v>1</x:v>
      </x:c>
      <x:c r="E35" s="39" t="n">
        <x:f>IF(AND('고객경제성'!$E$52="입력 유효",COUNT($C$7,J$6)=2,C35&gt;=0,C35&lt;=1,D35&gt;=0,D35&lt;=1),'고객경제성'!$E$30*C35*3600/'고객경제성'!$E$32*'고객경제성'!$E$33,"입력 확인")</x:f>
        <x:v>110880</x:v>
      </x:c>
      <x:c r="F35" s="39" t="n">
        <x:f>IF(AND('고객경제성'!$E$52="입력 유효",COUNT($C$7,J$6)=2,C35&gt;=0,C35&lt;=1,D35&gt;=0,D35&lt;=1),MIN('고객경제성'!$E$50,E35),"입력 확인")</x:f>
        <x:v>110880</x:v>
      </x:c>
      <x:c r="G35" s="39" t="n">
        <x:f>IF(AND('고객경제성'!$E$52="입력 유효",COUNT($C$7,J$6)=2,C35&gt;=0,C35&lt;=1,D35&gt;=0,D35&lt;=1),F35/'고객경제성'!$E$33*'고객경제성'!$E$32/3600,"입력 확인")</x:f>
        <x:v>2200</x:v>
      </x:c>
      <x:c r="H35" s="39" t="n">
        <x:f>IF(AND('고객경제성'!$E$52="입력 유효",COUNT($C$7,J$6)=2,C35&gt;=0,C35&lt;=1,D35&gt;=0,D35&lt;=1),'고객경제성'!$E$65+'고객경제성'!$E$62+G35*'고객경제성'!$E$34*'고객경제성'!$E$35/60*'고객경제성'!$E$36+G35*'고객경제성'!$E$43*'고객경제성'!$E$44+(F35/'고객경제성'!$E$33-F35)*'고객경제성'!$E$45,"입력 확인")</x:f>
        <x:v>18535.09047619048</x:v>
      </x:c>
      <x:c r="I35" s="39" t="n">
        <x:f>IF(AND('고객경제성'!$E$52="입력 유효",COUNT($C$7,J$6)=2,C35&gt;=0,C35&lt;=1,D35&gt;=0,D35&lt;=1),F35/(3600/'고객경제성'!$E$46*'고객경제성'!$E$47)*'고객경제성'!$E$48,"입력 확인")</x:f>
        <x:v>60748.74371859296</x:v>
      </x:c>
      <x:c r="J35" s="39" t="n">
        <x:f>IF(AND('고객경제성'!$E$52="입력 유효",COUNT($C$7,J$6)=2,C35&gt;=0,C35&lt;=1,D35&gt;=0,D35&lt;=1),I35*D35-H35,"입력 확인")</x:f>
        <x:v>42213.65324240248</x:v>
      </x:c>
      <x:c r="K35" s="41" t="n">
        <x:f>IF(AND('고객경제성'!$E$52="입력 유효",COUNT($C$7,J$6)=2,C35&gt;=0,C35&lt;=1,D35&gt;=0,D35&lt;=1),IF(J35&lt;=0,"회수불가",'고객경제성'!$E$55/J35),"입력 확인")</x:f>
        <x:v>2.013566547105186</x:v>
      </x:c>
      <x:c r="L35" s="39" t="n">
        <x:f>IF(AND('고객경제성'!$E$52="입력 유효",COUNT($C$7,J$6)=2,C35&gt;=0,C35&lt;=1,D35&gt;=0,D35&lt;=1),-'고객경제성'!$E$55+IF('고객경제성'!$E$29=0,J35*'고객경제성'!$E$27,J35*(1-(1+'고객경제성'!$E$29)^(-'고객경제성'!$E$27))/'고객경제성'!$E$29)+'고객경제성'!$E$28/(1+'고객경제성'!$E$29)^'고객경제성'!$E$27,"입력 확인")</x:f>
        <x:v>75022.95819969545</x:v>
      </x:c>
      <x:c r="M35" s="39" t="n">
        <x:f>IF(AND('고객경제성'!$E$52="입력 유효",COUNT($C$7,J$6)=2,C35&gt;=0,C35&lt;=1,D35&gt;=0,D35&lt;=1),MAX(0,'고객경제성'!$E$50-F35),"입력 확인")</x:f>
        <x:v>39120</x:v>
      </x:c>
    </x:row>
    <x:row r="36" ht="24" customHeight="1">
      <x:c r="A36" s="2"/>
      <x:c r="B36" s="2"/>
      <x:c r="C36" s="23" t="n">
        <x:f>$C$8</x:f>
        <x:v>0.65</x:v>
      </x:c>
      <x:c r="D36" s="23" t="n">
        <x:f>E$6</x:f>
        <x:v>0.25</x:v>
      </x:c>
      <x:c r="E36" s="39" t="n">
        <x:f>IF(AND('고객경제성'!$E$52="입력 유효",COUNT($C$8,E$6)=2,C36&gt;=0,C36&lt;=1,D36&gt;=0,D36&lt;=1),'고객경제성'!$E$30*C36*3600/'고객경제성'!$E$32*'고객경제성'!$E$33,"입력 확인")</x:f>
        <x:v>131040</x:v>
      </x:c>
      <x:c r="F36" s="39" t="n">
        <x:f>IF(AND('고객경제성'!$E$52="입력 유효",COUNT($C$8,E$6)=2,C36&gt;=0,C36&lt;=1,D36&gt;=0,D36&lt;=1),MIN('고객경제성'!$E$50,E36),"입력 확인")</x:f>
        <x:v>131040</x:v>
      </x:c>
      <x:c r="G36" s="39" t="n">
        <x:f>IF(AND('고객경제성'!$E$52="입력 유효",COUNT($C$8,E$6)=2,C36&gt;=0,C36&lt;=1,D36&gt;=0,D36&lt;=1),F36/'고객경제성'!$E$33*'고객경제성'!$E$32/3600,"입력 확인")</x:f>
        <x:v>2600</x:v>
      </x:c>
      <x:c r="H36" s="39" t="n">
        <x:f>IF(AND('고객경제성'!$E$52="입력 유효",COUNT($C$8,E$6)=2,C36&gt;=0,C36&lt;=1,D36&gt;=0,D36&lt;=1),'고객경제성'!$E$65+'고객경제성'!$E$62+G36*'고객경제성'!$E$34*'고객경제성'!$E$35/60*'고객경제성'!$E$36+G36*'고객경제성'!$E$43*'고객경제성'!$E$44+(F36/'고객경제성'!$E$33-F36)*'고객경제성'!$E$45,"입력 확인")</x:f>
        <x:v>19184.652380952375</x:v>
      </x:c>
      <x:c r="I36" s="39" t="n">
        <x:f>IF(AND('고객경제성'!$E$52="입력 유효",COUNT($C$8,E$6)=2,C36&gt;=0,C36&lt;=1,D36&gt;=0,D36&lt;=1),F36/(3600/'고객경제성'!$E$46*'고객경제성'!$E$47)*'고객경제성'!$E$48,"입력 확인")</x:f>
        <x:v>71793.96984924623</x:v>
      </x:c>
      <x:c r="J36" s="39" t="n">
        <x:f>IF(AND('고객경제성'!$E$52="입력 유효",COUNT($C$8,E$6)=2,C36&gt;=0,C36&lt;=1,D36&gt;=0,D36&lt;=1),I36*D36-H36,"입력 확인")</x:f>
        <x:v>-1236.1599186408166</x:v>
      </x:c>
      <x:c r="K36" s="41" t="str">
        <x:f>IF(AND('고객경제성'!$E$52="입력 유효",COUNT($C$8,E$6)=2,C36&gt;=0,C36&lt;=1,D36&gt;=0,D36&lt;=1),IF(J36&lt;=0,"회수불가",'고객경제성'!$E$55/J36),"입력 확인")</x:f>
        <x:v>회수불가</x:v>
      </x:c>
      <x:c r="L36" s="39" t="n">
        <x:f>IF(AND('고객경제성'!$E$52="입력 유효",COUNT($C$8,E$6)=2,C36&gt;=0,C36&lt;=1,D36&gt;=0,D36&lt;=1),-'고객경제성'!$E$55+IF('고객경제성'!$E$29=0,J36*'고객경제성'!$E$27,J36*(1-(1+'고객경제성'!$E$29)^(-'고객경제성'!$E$27))/'고객경제성'!$E$29)+'고객경제성'!$E$28/(1+'고객경제성'!$E$29)^'고객경제성'!$E$27,"입력 확인")</x:f>
        <x:v>-89686.01866445664</x:v>
      </x:c>
      <x:c r="M36" s="39" t="n">
        <x:f>IF(AND('고객경제성'!$E$52="입력 유효",COUNT($C$8,E$6)=2,C36&gt;=0,C36&lt;=1,D36&gt;=0,D36&lt;=1),MAX(0,'고객경제성'!$E$50-F36),"입력 확인")</x:f>
        <x:v>18960</x:v>
      </x:c>
    </x:row>
    <x:row r="37" ht="24" customHeight="1">
      <x:c r="A37" s="2"/>
      <x:c r="B37" s="2"/>
      <x:c r="C37" s="23" t="n">
        <x:f>$C$8</x:f>
        <x:v>0.65</x:v>
      </x:c>
      <x:c r="D37" s="23" t="n">
        <x:f>F$6</x:f>
        <x:v>0.4</x:v>
      </x:c>
      <x:c r="E37" s="39" t="n">
        <x:f>IF(AND('고객경제성'!$E$52="입력 유효",COUNT($C$8,F$6)=2,C37&gt;=0,C37&lt;=1,D37&gt;=0,D37&lt;=1),'고객경제성'!$E$30*C37*3600/'고객경제성'!$E$32*'고객경제성'!$E$33,"입력 확인")</x:f>
        <x:v>131040</x:v>
      </x:c>
      <x:c r="F37" s="39" t="n">
        <x:f>IF(AND('고객경제성'!$E$52="입력 유효",COUNT($C$8,F$6)=2,C37&gt;=0,C37&lt;=1,D37&gt;=0,D37&lt;=1),MIN('고객경제성'!$E$50,E37),"입력 확인")</x:f>
        <x:v>131040</x:v>
      </x:c>
      <x:c r="G37" s="39" t="n">
        <x:f>IF(AND('고객경제성'!$E$52="입력 유효",COUNT($C$8,F$6)=2,C37&gt;=0,C37&lt;=1,D37&gt;=0,D37&lt;=1),F37/'고객경제성'!$E$33*'고객경제성'!$E$32/3600,"입력 확인")</x:f>
        <x:v>2600</x:v>
      </x:c>
      <x:c r="H37" s="39" t="n">
        <x:f>IF(AND('고객경제성'!$E$52="입력 유효",COUNT($C$8,F$6)=2,C37&gt;=0,C37&lt;=1,D37&gt;=0,D37&lt;=1),'고객경제성'!$E$65+'고객경제성'!$E$62+G37*'고객경제성'!$E$34*'고객경제성'!$E$35/60*'고객경제성'!$E$36+G37*'고객경제성'!$E$43*'고객경제성'!$E$44+(F37/'고객경제성'!$E$33-F37)*'고객경제성'!$E$45,"입력 확인")</x:f>
        <x:v>19184.652380952375</x:v>
      </x:c>
      <x:c r="I37" s="39" t="n">
        <x:f>IF(AND('고객경제성'!$E$52="입력 유효",COUNT($C$8,F$6)=2,C37&gt;=0,C37&lt;=1,D37&gt;=0,D37&lt;=1),F37/(3600/'고객경제성'!$E$46*'고객경제성'!$E$47)*'고객경제성'!$E$48,"입력 확인")</x:f>
        <x:v>71793.96984924623</x:v>
      </x:c>
      <x:c r="J37" s="39" t="n">
        <x:f>IF(AND('고객경제성'!$E$52="입력 유효",COUNT($C$8,F$6)=2,C37&gt;=0,C37&lt;=1,D37&gt;=0,D37&lt;=1),I37*D37-H37,"입력 확인")</x:f>
        <x:v>9532.935558746121</x:v>
      </x:c>
      <x:c r="K37" s="41" t="n">
        <x:f>IF(AND('고객경제성'!$E$52="입력 유효",COUNT($C$8,F$6)=2,C37&gt;=0,C37&lt;=1,D37&gt;=0,D37&lt;=1),IF(J37&lt;=0,"회수불가",'고객경제성'!$E$55/J37),"입력 확인")</x:f>
        <x:v>8.916455951704782</x:v>
      </x:c>
      <x:c r="L37" s="39" t="n">
        <x:f>IF(AND('고객경제성'!$E$52="입력 유효",COUNT($C$8,F$6)=2,C37&gt;=0,C37&lt;=1,D37&gt;=0,D37&lt;=1),-'고객경제성'!$E$55+IF('고객경제성'!$E$29=0,J37*'고객경제성'!$E$27,J37*(1-(1+'고객경제성'!$E$29)^(-'고객경제성'!$E$27))/'고객경제성'!$E$29)+'고객경제성'!$E$28/(1+'고객경제성'!$E$29)^'고객경제성'!$E$27,"입력 확인")</x:f>
        <x:v>-48862.67401028185</x:v>
      </x:c>
      <x:c r="M37" s="39" t="n">
        <x:f>IF(AND('고객경제성'!$E$52="입력 유효",COUNT($C$8,F$6)=2,C37&gt;=0,C37&lt;=1,D37&gt;=0,D37&lt;=1),MAX(0,'고객경제성'!$E$50-F37),"입력 확인")</x:f>
        <x:v>18960</x:v>
      </x:c>
    </x:row>
    <x:row r="38" ht="24" customHeight="1">
      <x:c r="A38" s="2"/>
      <x:c r="B38" s="2"/>
      <x:c r="C38" s="23" t="n">
        <x:f>$C$8</x:f>
        <x:v>0.65</x:v>
      </x:c>
      <x:c r="D38" s="23" t="n">
        <x:f>G$6</x:f>
        <x:v>0.55</x:v>
      </x:c>
      <x:c r="E38" s="39" t="n">
        <x:f>IF(AND('고객경제성'!$E$52="입력 유효",COUNT($C$8,G$6)=2,C38&gt;=0,C38&lt;=1,D38&gt;=0,D38&lt;=1),'고객경제성'!$E$30*C38*3600/'고객경제성'!$E$32*'고객경제성'!$E$33,"입력 확인")</x:f>
        <x:v>131040</x:v>
      </x:c>
      <x:c r="F38" s="39" t="n">
        <x:f>IF(AND('고객경제성'!$E$52="입력 유효",COUNT($C$8,G$6)=2,C38&gt;=0,C38&lt;=1,D38&gt;=0,D38&lt;=1),MIN('고객경제성'!$E$50,E38),"입력 확인")</x:f>
        <x:v>131040</x:v>
      </x:c>
      <x:c r="G38" s="39" t="n">
        <x:f>IF(AND('고객경제성'!$E$52="입력 유효",COUNT($C$8,G$6)=2,C38&gt;=0,C38&lt;=1,D38&gt;=0,D38&lt;=1),F38/'고객경제성'!$E$33*'고객경제성'!$E$32/3600,"입력 확인")</x:f>
        <x:v>2600</x:v>
      </x:c>
      <x:c r="H38" s="39" t="n">
        <x:f>IF(AND('고객경제성'!$E$52="입력 유효",COUNT($C$8,G$6)=2,C38&gt;=0,C38&lt;=1,D38&gt;=0,D38&lt;=1),'고객경제성'!$E$65+'고객경제성'!$E$62+G38*'고객경제성'!$E$34*'고객경제성'!$E$35/60*'고객경제성'!$E$36+G38*'고객경제성'!$E$43*'고객경제성'!$E$44+(F38/'고객경제성'!$E$33-F38)*'고객경제성'!$E$45,"입력 확인")</x:f>
        <x:v>19184.652380952375</x:v>
      </x:c>
      <x:c r="I38" s="39" t="n">
        <x:f>IF(AND('고객경제성'!$E$52="입력 유효",COUNT($C$8,G$6)=2,C38&gt;=0,C38&lt;=1,D38&gt;=0,D38&lt;=1),F38/(3600/'고객경제성'!$E$46*'고객경제성'!$E$47)*'고객경제성'!$E$48,"입력 확인")</x:f>
        <x:v>71793.96984924623</x:v>
      </x:c>
      <x:c r="J38" s="39" t="n">
        <x:f>IF(AND('고객경제성'!$E$52="입력 유효",COUNT($C$8,G$6)=2,C38&gt;=0,C38&lt;=1,D38&gt;=0,D38&lt;=1),I38*D38-H38,"입력 확인")</x:f>
        <x:v>20302.03103613306</x:v>
      </x:c>
      <x:c r="K38" s="41" t="n">
        <x:f>IF(AND('고객경제성'!$E$52="입력 유효",COUNT($C$8,G$6)=2,C38&gt;=0,C38&lt;=1,D38&gt;=0,D38&lt;=1),IF(J38&lt;=0,"회수불가",'고객경제성'!$E$55/J38),"입력 확인")</x:f>
        <x:v>4.186773227206632</x:v>
      </x:c>
      <x:c r="L38" s="39" t="n">
        <x:f>IF(AND('고객경제성'!$E$52="입력 유효",COUNT($C$8,G$6)=2,C38&gt;=0,C38&lt;=1,D38&gt;=0,D38&lt;=1),-'고객경제성'!$E$55+IF('고객경제성'!$E$29=0,J38*'고객경제성'!$E$27,J38*(1-(1+'고객경제성'!$E$29)^(-'고객경제성'!$E$27))/'고객경제성'!$E$29)+'고객경제성'!$E$28/(1+'고객경제성'!$E$29)^'고객경제성'!$E$27,"입력 확인")</x:f>
        <x:v>-8039.32935610706</x:v>
      </x:c>
      <x:c r="M38" s="39" t="n">
        <x:f>IF(AND('고객경제성'!$E$52="입력 유효",COUNT($C$8,G$6)=2,C38&gt;=0,C38&lt;=1,D38&gt;=0,D38&lt;=1),MAX(0,'고객경제성'!$E$50-F38),"입력 확인")</x:f>
        <x:v>18960</x:v>
      </x:c>
    </x:row>
    <x:row r="39" ht="24" customHeight="1">
      <x:c r="A39" s="2"/>
      <x:c r="B39" s="2"/>
      <x:c r="C39" s="23" t="n">
        <x:f>$C$8</x:f>
        <x:v>0.65</x:v>
      </x:c>
      <x:c r="D39" s="23" t="n">
        <x:f>H$6</x:f>
        <x:v>0.65</x:v>
      </x:c>
      <x:c r="E39" s="39" t="n">
        <x:f>IF(AND('고객경제성'!$E$52="입력 유효",COUNT($C$8,H$6)=2,C39&gt;=0,C39&lt;=1,D39&gt;=0,D39&lt;=1),'고객경제성'!$E$30*C39*3600/'고객경제성'!$E$32*'고객경제성'!$E$33,"입력 확인")</x:f>
        <x:v>131040</x:v>
      </x:c>
      <x:c r="F39" s="39" t="n">
        <x:f>IF(AND('고객경제성'!$E$52="입력 유효",COUNT($C$8,H$6)=2,C39&gt;=0,C39&lt;=1,D39&gt;=0,D39&lt;=1),MIN('고객경제성'!$E$50,E39),"입력 확인")</x:f>
        <x:v>131040</x:v>
      </x:c>
      <x:c r="G39" s="39" t="n">
        <x:f>IF(AND('고객경제성'!$E$52="입력 유효",COUNT($C$8,H$6)=2,C39&gt;=0,C39&lt;=1,D39&gt;=0,D39&lt;=1),F39/'고객경제성'!$E$33*'고객경제성'!$E$32/3600,"입력 확인")</x:f>
        <x:v>2600</x:v>
      </x:c>
      <x:c r="H39" s="39" t="n">
        <x:f>IF(AND('고객경제성'!$E$52="입력 유효",COUNT($C$8,H$6)=2,C39&gt;=0,C39&lt;=1,D39&gt;=0,D39&lt;=1),'고객경제성'!$E$65+'고객경제성'!$E$62+G39*'고객경제성'!$E$34*'고객경제성'!$E$35/60*'고객경제성'!$E$36+G39*'고객경제성'!$E$43*'고객경제성'!$E$44+(F39/'고객경제성'!$E$33-F39)*'고객경제성'!$E$45,"입력 확인")</x:f>
        <x:v>19184.652380952375</x:v>
      </x:c>
      <x:c r="I39" s="39" t="n">
        <x:f>IF(AND('고객경제성'!$E$52="입력 유효",COUNT($C$8,H$6)=2,C39&gt;=0,C39&lt;=1,D39&gt;=0,D39&lt;=1),F39/(3600/'고객경제성'!$E$46*'고객경제성'!$E$47)*'고객경제성'!$E$48,"입력 확인")</x:f>
        <x:v>71793.96984924623</x:v>
      </x:c>
      <x:c r="J39" s="39" t="n">
        <x:f>IF(AND('고객경제성'!$E$52="입력 유효",COUNT($C$8,H$6)=2,C39&gt;=0,C39&lt;=1,D39&gt;=0,D39&lt;=1),I39*D39-H39,"입력 확인")</x:f>
        <x:v>27481.42802105768</x:v>
      </x:c>
      <x:c r="K39" s="41" t="n">
        <x:f>IF(AND('고객경제성'!$E$52="입력 유효",COUNT($C$8,H$6)=2,C39&gt;=0,C39&lt;=1,D39&gt;=0,D39&lt;=1),IF(J39&lt;=0,"회수불가",'고객경제성'!$E$55/J39),"입력 확인")</x:f>
        <x:v>3.09299793063405</x:v>
      </x:c>
      <x:c r="L39" s="39" t="n">
        <x:f>IF(AND('고객경제성'!$E$52="입력 유효",COUNT($C$8,H$6)=2,C39&gt;=0,C39&lt;=1,D39&gt;=0,D39&lt;=1),-'고객경제성'!$E$55+IF('고객경제성'!$E$29=0,J39*'고객경제성'!$E$27,J39*(1-(1+'고객경제성'!$E$29)^(-'고객경제성'!$E$27))/'고객경제성'!$E$29)+'고객경제성'!$E$28/(1+'고객경제성'!$E$29)^'고객경제성'!$E$27,"입력 확인")</x:f>
        <x:v>19176.23374667611</x:v>
      </x:c>
      <x:c r="M39" s="39" t="n">
        <x:f>IF(AND('고객경제성'!$E$52="입력 유효",COUNT($C$8,H$6)=2,C39&gt;=0,C39&lt;=1,D39&gt;=0,D39&lt;=1),MAX(0,'고객경제성'!$E$50-F39),"입력 확인")</x:f>
        <x:v>18960</x:v>
      </x:c>
    </x:row>
    <x:row r="40" ht="24" customHeight="1">
      <x:c r="A40" s="2"/>
      <x:c r="B40" s="2"/>
      <x:c r="C40" s="23" t="n">
        <x:f>$C$8</x:f>
        <x:v>0.65</x:v>
      </x:c>
      <x:c r="D40" s="23" t="n">
        <x:f>I$6</x:f>
        <x:v>0.8</x:v>
      </x:c>
      <x:c r="E40" s="39" t="n">
        <x:f>IF(AND('고객경제성'!$E$52="입력 유효",COUNT($C$8,I$6)=2,C40&gt;=0,C40&lt;=1,D40&gt;=0,D40&lt;=1),'고객경제성'!$E$30*C40*3600/'고객경제성'!$E$32*'고객경제성'!$E$33,"입력 확인")</x:f>
        <x:v>131040</x:v>
      </x:c>
      <x:c r="F40" s="39" t="n">
        <x:f>IF(AND('고객경제성'!$E$52="입력 유효",COUNT($C$8,I$6)=2,C40&gt;=0,C40&lt;=1,D40&gt;=0,D40&lt;=1),MIN('고객경제성'!$E$50,E40),"입력 확인")</x:f>
        <x:v>131040</x:v>
      </x:c>
      <x:c r="G40" s="39" t="n">
        <x:f>IF(AND('고객경제성'!$E$52="입력 유효",COUNT($C$8,I$6)=2,C40&gt;=0,C40&lt;=1,D40&gt;=0,D40&lt;=1),F40/'고객경제성'!$E$33*'고객경제성'!$E$32/3600,"입력 확인")</x:f>
        <x:v>2600</x:v>
      </x:c>
      <x:c r="H40" s="39" t="n">
        <x:f>IF(AND('고객경제성'!$E$52="입력 유효",COUNT($C$8,I$6)=2,C40&gt;=0,C40&lt;=1,D40&gt;=0,D40&lt;=1),'고객경제성'!$E$65+'고객경제성'!$E$62+G40*'고객경제성'!$E$34*'고객경제성'!$E$35/60*'고객경제성'!$E$36+G40*'고객경제성'!$E$43*'고객경제성'!$E$44+(F40/'고객경제성'!$E$33-F40)*'고객경제성'!$E$45,"입력 확인")</x:f>
        <x:v>19184.652380952375</x:v>
      </x:c>
      <x:c r="I40" s="39" t="n">
        <x:f>IF(AND('고객경제성'!$E$52="입력 유효",COUNT($C$8,I$6)=2,C40&gt;=0,C40&lt;=1,D40&gt;=0,D40&lt;=1),F40/(3600/'고객경제성'!$E$46*'고객경제성'!$E$47)*'고객경제성'!$E$48,"입력 확인")</x:f>
        <x:v>71793.96984924623</x:v>
      </x:c>
      <x:c r="J40" s="39" t="n">
        <x:f>IF(AND('고객경제성'!$E$52="입력 유효",COUNT($C$8,I$6)=2,C40&gt;=0,C40&lt;=1,D40&gt;=0,D40&lt;=1),I40*D40-H40,"입력 확인")</x:f>
        <x:v>38250.523498444614</x:v>
      </x:c>
      <x:c r="K40" s="41" t="n">
        <x:f>IF(AND('고객경제성'!$E$52="입력 유효",COUNT($C$8,I$6)=2,C40&gt;=0,C40&lt;=1,D40&gt;=0,D40&lt;=1),IF(J40&lt;=0,"회수불가",'고객경제성'!$E$55/J40),"입력 확인")</x:f>
        <x:v>2.2221918087854764</x:v>
      </x:c>
      <x:c r="L40" s="39" t="n">
        <x:f>IF(AND('고객경제성'!$E$52="입력 유효",COUNT($C$8,I$6)=2,C40&gt;=0,C40&lt;=1,D40&gt;=0,D40&lt;=1),-'고객경제성'!$E$55+IF('고객경제성'!$E$29=0,J40*'고객경제성'!$E$27,J40*(1-(1+'고객경제성'!$E$29)^(-'고객경제성'!$E$27))/'고객경제성'!$E$29)+'고객경제성'!$E$28/(1+'고객경제성'!$E$29)^'고객경제성'!$E$27,"입력 확인")</x:f>
        <x:v>59999.57840085088</x:v>
      </x:c>
      <x:c r="M40" s="39" t="n">
        <x:f>IF(AND('고객경제성'!$E$52="입력 유효",COUNT($C$8,I$6)=2,C40&gt;=0,C40&lt;=1,D40&gt;=0,D40&lt;=1),MAX(0,'고객경제성'!$E$50-F40),"입력 확인")</x:f>
        <x:v>18960</x:v>
      </x:c>
    </x:row>
    <x:row r="41" ht="24" customHeight="1">
      <x:c r="A41" s="2"/>
      <x:c r="B41" s="2"/>
      <x:c r="C41" s="23" t="n">
        <x:f>$C$8</x:f>
        <x:v>0.65</x:v>
      </x:c>
      <x:c r="D41" s="23" t="n">
        <x:f>J$6</x:f>
        <x:v>1</x:v>
      </x:c>
      <x:c r="E41" s="39" t="n">
        <x:f>IF(AND('고객경제성'!$E$52="입력 유효",COUNT($C$8,J$6)=2,C41&gt;=0,C41&lt;=1,D41&gt;=0,D41&lt;=1),'고객경제성'!$E$30*C41*3600/'고객경제성'!$E$32*'고객경제성'!$E$33,"입력 확인")</x:f>
        <x:v>131040</x:v>
      </x:c>
      <x:c r="F41" s="39" t="n">
        <x:f>IF(AND('고객경제성'!$E$52="입력 유효",COUNT($C$8,J$6)=2,C41&gt;=0,C41&lt;=1,D41&gt;=0,D41&lt;=1),MIN('고객경제성'!$E$50,E41),"입력 확인")</x:f>
        <x:v>131040</x:v>
      </x:c>
      <x:c r="G41" s="39" t="n">
        <x:f>IF(AND('고객경제성'!$E$52="입력 유효",COUNT($C$8,J$6)=2,C41&gt;=0,C41&lt;=1,D41&gt;=0,D41&lt;=1),F41/'고객경제성'!$E$33*'고객경제성'!$E$32/3600,"입력 확인")</x:f>
        <x:v>2600</x:v>
      </x:c>
      <x:c r="H41" s="39" t="n">
        <x:f>IF(AND('고객경제성'!$E$52="입력 유효",COUNT($C$8,J$6)=2,C41&gt;=0,C41&lt;=1,D41&gt;=0,D41&lt;=1),'고객경제성'!$E$65+'고객경제성'!$E$62+G41*'고객경제성'!$E$34*'고객경제성'!$E$35/60*'고객경제성'!$E$36+G41*'고객경제성'!$E$43*'고객경제성'!$E$44+(F41/'고객경제성'!$E$33-F41)*'고객경제성'!$E$45,"입력 확인")</x:f>
        <x:v>19184.652380952375</x:v>
      </x:c>
      <x:c r="I41" s="39" t="n">
        <x:f>IF(AND('고객경제성'!$E$52="입력 유효",COUNT($C$8,J$6)=2,C41&gt;=0,C41&lt;=1,D41&gt;=0,D41&lt;=1),F41/(3600/'고객경제성'!$E$46*'고객경제성'!$E$47)*'고객경제성'!$E$48,"입력 확인")</x:f>
        <x:v>71793.96984924623</x:v>
      </x:c>
      <x:c r="J41" s="39" t="n">
        <x:f>IF(AND('고객경제성'!$E$52="입력 유효",COUNT($C$8,J$6)=2,C41&gt;=0,C41&lt;=1,D41&gt;=0,D41&lt;=1),I41*D41-H41,"입력 확인")</x:f>
        <x:v>52609.317468293855</x:v>
      </x:c>
      <x:c r="K41" s="41" t="n">
        <x:f>IF(AND('고객경제성'!$E$52="입력 유효",COUNT($C$8,J$6)=2,C41&gt;=0,C41&lt;=1,D41&gt;=0,D41&lt;=1),IF(J41&lt;=0,"회수불가",'고객경제성'!$E$55/J41),"입력 확인")</x:f>
        <x:v>1.6156833825344168</x:v>
      </x:c>
      <x:c r="L41" s="39" t="n">
        <x:f>IF(AND('고객경제성'!$E$52="입력 유효",COUNT($C$8,J$6)=2,C41&gt;=0,C41&lt;=1,D41&gt;=0,D41&lt;=1),-'고객경제성'!$E$55+IF('고객경제성'!$E$29=0,J41*'고객경제성'!$E$27,J41*(1-(1+'고객경제성'!$E$29)^(-'고객경제성'!$E$27))/'고객경제성'!$E$29)+'고객경제성'!$E$28/(1+'고객경제성'!$E$29)^'고객경제성'!$E$27,"입력 확인")</x:f>
        <x:v>114430.70460641722</x:v>
      </x:c>
      <x:c r="M41" s="39" t="n">
        <x:f>IF(AND('고객경제성'!$E$52="입력 유효",COUNT($C$8,J$6)=2,C41&gt;=0,C41&lt;=1,D41&gt;=0,D41&lt;=1),MAX(0,'고객경제성'!$E$50-F41),"입력 확인")</x:f>
        <x:v>18960</x:v>
      </x:c>
    </x:row>
    <x:row r="42" ht="24" customHeight="1">
      <x:c r="A42" s="2"/>
      <x:c r="B42" s="2"/>
      <x:c r="C42" s="23" t="n">
        <x:f>$C$9</x:f>
        <x:v>0.75</x:v>
      </x:c>
      <x:c r="D42" s="23" t="n">
        <x:f>E$6</x:f>
        <x:v>0.25</x:v>
      </x:c>
      <x:c r="E42" s="39" t="n">
        <x:f>IF(AND('고객경제성'!$E$52="입력 유효",COUNT($C$9,E$6)=2,C42&gt;=0,C42&lt;=1,D42&gt;=0,D42&lt;=1),'고객경제성'!$E$30*C42*3600/'고객경제성'!$E$32*'고객경제성'!$E$33,"입력 확인")</x:f>
        <x:v>151200</x:v>
      </x:c>
      <x:c r="F42" s="39" t="n">
        <x:f>IF(AND('고객경제성'!$E$52="입력 유효",COUNT($C$9,E$6)=2,C42&gt;=0,C42&lt;=1,D42&gt;=0,D42&lt;=1),MIN('고객경제성'!$E$50,E42),"입력 확인")</x:f>
        <x:v>150000</x:v>
      </x:c>
      <x:c r="G42" s="39" t="n">
        <x:f>IF(AND('고객경제성'!$E$52="입력 유효",COUNT($C$9,E$6)=2,C42&gt;=0,C42&lt;=1,D42&gt;=0,D42&lt;=1),F42/'고객경제성'!$E$33*'고객경제성'!$E$32/3600,"입력 확인")</x:f>
        <x:v>2976.190476190476</x:v>
      </x:c>
      <x:c r="H42" s="39" t="n">
        <x:f>IF(AND('고객경제성'!$E$52="입력 유효",COUNT($C$9,E$6)=2,C42&gt;=0,C42&lt;=1,D42&gt;=0,D42&lt;=1),'고객경제성'!$E$65+'고객경제성'!$E$62+G42*'고객경제성'!$E$34*'고객경제성'!$E$35/60*'고객경제성'!$E$36+G42*'고객경제성'!$E$43*'고객경제성'!$E$44+(F42/'고객경제성'!$E$33-F42)*'고객경제성'!$E$45,"입력 확인")</x:f>
        <x:v>19795.549886621313</x:v>
      </x:c>
      <x:c r="I42" s="39" t="n">
        <x:f>IF(AND('고객경제성'!$E$52="입력 유효",COUNT($C$9,E$6)=2,C42&gt;=0,C42&lt;=1,D42&gt;=0,D42&lt;=1),F42/(3600/'고객경제성'!$E$46*'고객경제성'!$E$47)*'고객경제성'!$E$48,"입력 확인")</x:f>
        <x:v>82181.74204355109</x:v>
      </x:c>
      <x:c r="J42" s="39" t="n">
        <x:f>IF(AND('고객경제성'!$E$52="입력 유효",COUNT($C$9,E$6)=2,C42&gt;=0,C42&lt;=1,D42&gt;=0,D42&lt;=1),I42*D42-H42,"입력 확인")</x:f>
        <x:v>749.8856242664588</x:v>
      </x:c>
      <x:c r="K42" s="41" t="n">
        <x:f>IF(AND('고객경제성'!$E$52="입력 유효",COUNT($C$9,E$6)=2,C42&gt;=0,C42&lt;=1,D42&gt;=0,D42&lt;=1),IF(J42&lt;=0,"회수불가",'고객경제성'!$E$55/J42),"입력 확인")</x:f>
        <x:v>113.35061941365706</x:v>
      </x:c>
      <x:c r="L42" s="39" t="n">
        <x:f>IF(AND('고객경제성'!$E$52="입력 유효",COUNT($C$9,E$6)=2,C42&gt;=0,C42&lt;=1,D42&gt;=0,D42&lt;=1),-'고객경제성'!$E$55+IF('고객경제성'!$E$29=0,J42*'고객경제성'!$E$27,J42*(1-(1+'고객경제성'!$E$29)^(-'고객경제성'!$E$27))/'고객경제성'!$E$29)+'고객경제성'!$E$28/(1+'고객경제성'!$E$29)^'고객경제성'!$E$27,"입력 확인")</x:f>
        <x:v>-82157.34349696111</x:v>
      </x:c>
      <x:c r="M42" s="39" t="n">
        <x:f>IF(AND('고객경제성'!$E$52="입력 유효",COUNT($C$9,E$6)=2,C42&gt;=0,C42&lt;=1,D42&gt;=0,D42&lt;=1),MAX(0,'고객경제성'!$E$50-F42),"입력 확인")</x:f>
        <x:v>0</x:v>
      </x:c>
    </x:row>
    <x:row r="43" ht="24" customHeight="1">
      <x:c r="A43" s="2"/>
      <x:c r="B43" s="2"/>
      <x:c r="C43" s="23" t="n">
        <x:f>$C$9</x:f>
        <x:v>0.75</x:v>
      </x:c>
      <x:c r="D43" s="23" t="n">
        <x:f>F$6</x:f>
        <x:v>0.4</x:v>
      </x:c>
      <x:c r="E43" s="39" t="n">
        <x:f>IF(AND('고객경제성'!$E$52="입력 유효",COUNT($C$9,F$6)=2,C43&gt;=0,C43&lt;=1,D43&gt;=0,D43&lt;=1),'고객경제성'!$E$30*C43*3600/'고객경제성'!$E$32*'고객경제성'!$E$33,"입력 확인")</x:f>
        <x:v>151200</x:v>
      </x:c>
      <x:c r="F43" s="39" t="n">
        <x:f>IF(AND('고객경제성'!$E$52="입력 유효",COUNT($C$9,F$6)=2,C43&gt;=0,C43&lt;=1,D43&gt;=0,D43&lt;=1),MIN('고객경제성'!$E$50,E43),"입력 확인")</x:f>
        <x:v>150000</x:v>
      </x:c>
      <x:c r="G43" s="39" t="n">
        <x:f>IF(AND('고객경제성'!$E$52="입력 유효",COUNT($C$9,F$6)=2,C43&gt;=0,C43&lt;=1,D43&gt;=0,D43&lt;=1),F43/'고객경제성'!$E$33*'고객경제성'!$E$32/3600,"입력 확인")</x:f>
        <x:v>2976.190476190476</x:v>
      </x:c>
      <x:c r="H43" s="39" t="n">
        <x:f>IF(AND('고객경제성'!$E$52="입력 유효",COUNT($C$9,F$6)=2,C43&gt;=0,C43&lt;=1,D43&gt;=0,D43&lt;=1),'고객경제성'!$E$65+'고객경제성'!$E$62+G43*'고객경제성'!$E$34*'고객경제성'!$E$35/60*'고객경제성'!$E$36+G43*'고객경제성'!$E$43*'고객경제성'!$E$44+(F43/'고객경제성'!$E$33-F43)*'고객경제성'!$E$45,"입력 확인")</x:f>
        <x:v>19795.549886621313</x:v>
      </x:c>
      <x:c r="I43" s="39" t="n">
        <x:f>IF(AND('고객경제성'!$E$52="입력 유효",COUNT($C$9,F$6)=2,C43&gt;=0,C43&lt;=1,D43&gt;=0,D43&lt;=1),F43/(3600/'고객경제성'!$E$46*'고객경제성'!$E$47)*'고객경제성'!$E$48,"입력 확인")</x:f>
        <x:v>82181.74204355109</x:v>
      </x:c>
      <x:c r="J43" s="39" t="n">
        <x:f>IF(AND('고객경제성'!$E$52="입력 유효",COUNT($C$9,F$6)=2,C43&gt;=0,C43&lt;=1,D43&gt;=0,D43&lt;=1),I43*D43-H43,"입력 확인")</x:f>
        <x:v>13077.146930799125</x:v>
      </x:c>
      <x:c r="K43" s="41" t="n">
        <x:f>IF(AND('고객경제성'!$E$52="입력 유효",COUNT($C$9,F$6)=2,C43&gt;=0,C43&lt;=1,D43&gt;=0,D43&lt;=1),IF(J43&lt;=0,"회수불가",'고객경제성'!$E$55/J43),"입력 확인")</x:f>
        <x:v>6.499888733360418</x:v>
      </x:c>
      <x:c r="L43" s="39" t="n">
        <x:f>IF(AND('고객경제성'!$E$52="입력 유효",COUNT($C$9,F$6)=2,C43&gt;=0,C43&lt;=1,D43&gt;=0,D43&lt;=1),-'고객경제성'!$E$55+IF('고객경제성'!$E$29=0,J43*'고객경제성'!$E$27,J43*(1-(1+'고객경제성'!$E$29)^(-'고객경제성'!$E$27))/'고객경제성'!$E$29)+'고객경제성'!$E$28/(1+'고객경제성'!$E$29)^'고객경제성'!$E$27,"입력 확인")</x:f>
        <x:v>-35427.32443311635</x:v>
      </x:c>
      <x:c r="M43" s="39" t="n">
        <x:f>IF(AND('고객경제성'!$E$52="입력 유효",COUNT($C$9,F$6)=2,C43&gt;=0,C43&lt;=1,D43&gt;=0,D43&lt;=1),MAX(0,'고객경제성'!$E$50-F43),"입력 확인")</x:f>
        <x:v>0</x:v>
      </x:c>
    </x:row>
    <x:row r="44" ht="24" customHeight="1">
      <x:c r="A44" s="2"/>
      <x:c r="B44" s="2"/>
      <x:c r="C44" s="23" t="n">
        <x:f>$C$9</x:f>
        <x:v>0.75</x:v>
      </x:c>
      <x:c r="D44" s="23" t="n">
        <x:f>G$6</x:f>
        <x:v>0.55</x:v>
      </x:c>
      <x:c r="E44" s="39" t="n">
        <x:f>IF(AND('고객경제성'!$E$52="입력 유효",COUNT($C$9,G$6)=2,C44&gt;=0,C44&lt;=1,D44&gt;=0,D44&lt;=1),'고객경제성'!$E$30*C44*3600/'고객경제성'!$E$32*'고객경제성'!$E$33,"입력 확인")</x:f>
        <x:v>151200</x:v>
      </x:c>
      <x:c r="F44" s="39" t="n">
        <x:f>IF(AND('고객경제성'!$E$52="입력 유효",COUNT($C$9,G$6)=2,C44&gt;=0,C44&lt;=1,D44&gt;=0,D44&lt;=1),MIN('고객경제성'!$E$50,E44),"입력 확인")</x:f>
        <x:v>150000</x:v>
      </x:c>
      <x:c r="G44" s="39" t="n">
        <x:f>IF(AND('고객경제성'!$E$52="입력 유효",COUNT($C$9,G$6)=2,C44&gt;=0,C44&lt;=1,D44&gt;=0,D44&lt;=1),F44/'고객경제성'!$E$33*'고객경제성'!$E$32/3600,"입력 확인")</x:f>
        <x:v>2976.190476190476</x:v>
      </x:c>
      <x:c r="H44" s="39" t="n">
        <x:f>IF(AND('고객경제성'!$E$52="입력 유효",COUNT($C$9,G$6)=2,C44&gt;=0,C44&lt;=1,D44&gt;=0,D44&lt;=1),'고객경제성'!$E$65+'고객경제성'!$E$62+G44*'고객경제성'!$E$34*'고객경제성'!$E$35/60*'고객경제성'!$E$36+G44*'고객경제성'!$E$43*'고객경제성'!$E$44+(F44/'고객경제성'!$E$33-F44)*'고객경제성'!$E$45,"입력 확인")</x:f>
        <x:v>19795.549886621313</x:v>
      </x:c>
      <x:c r="I44" s="39" t="n">
        <x:f>IF(AND('고객경제성'!$E$52="입력 유효",COUNT($C$9,G$6)=2,C44&gt;=0,C44&lt;=1,D44&gt;=0,D44&lt;=1),F44/(3600/'고객경제성'!$E$46*'고객경제성'!$E$47)*'고객경제성'!$E$48,"입력 확인")</x:f>
        <x:v>82181.74204355109</x:v>
      </x:c>
      <x:c r="J44" s="39" t="n">
        <x:f>IF(AND('고객경제성'!$E$52="입력 유효",COUNT($C$9,G$6)=2,C44&gt;=0,C44&lt;=1,D44&gt;=0,D44&lt;=1),I44*D44-H44,"입력 확인")</x:f>
        <x:v>25404.40823733179</x:v>
      </x:c>
      <x:c r="K44" s="41" t="n">
        <x:f>IF(AND('고객경제성'!$E$52="입력 유효",COUNT($C$9,G$6)=2,C44&gt;=0,C44&lt;=1,D44&gt;=0,D44&lt;=1),IF(J44&lt;=0,"회수불가",'고객경제성'!$E$55/J44),"입력 확인")</x:f>
        <x:v>3.3458760072628837</x:v>
      </x:c>
      <x:c r="L44" s="39" t="n">
        <x:f>IF(AND('고객경제성'!$E$52="입력 유효",COUNT($C$9,G$6)=2,C44&gt;=0,C44&lt;=1,D44&gt;=0,D44&lt;=1),-'고객경제성'!$E$55+IF('고객경제성'!$E$29=0,J44*'고객경제성'!$E$27,J44*(1-(1+'고객경제성'!$E$29)^(-'고객경제성'!$E$27))/'고객경제성'!$E$29)+'고객경제성'!$E$28/(1+'고객경제성'!$E$29)^'고객경제성'!$E$27,"입력 확인")</x:f>
        <x:v>11302.694630728409</x:v>
      </x:c>
      <x:c r="M44" s="39" t="n">
        <x:f>IF(AND('고객경제성'!$E$52="입력 유효",COUNT($C$9,G$6)=2,C44&gt;=0,C44&lt;=1,D44&gt;=0,D44&lt;=1),MAX(0,'고객경제성'!$E$50-F44),"입력 확인")</x:f>
        <x:v>0</x:v>
      </x:c>
    </x:row>
    <x:row r="45" ht="24" customHeight="1">
      <x:c r="A45" s="2"/>
      <x:c r="B45" s="2"/>
      <x:c r="C45" s="23" t="n">
        <x:f>$C$9</x:f>
        <x:v>0.75</x:v>
      </x:c>
      <x:c r="D45" s="23" t="n">
        <x:f>H$6</x:f>
        <x:v>0.65</x:v>
      </x:c>
      <x:c r="E45" s="39" t="n">
        <x:f>IF(AND('고객경제성'!$E$52="입력 유효",COUNT($C$9,H$6)=2,C45&gt;=0,C45&lt;=1,D45&gt;=0,D45&lt;=1),'고객경제성'!$E$30*C45*3600/'고객경제성'!$E$32*'고객경제성'!$E$33,"입력 확인")</x:f>
        <x:v>151200</x:v>
      </x:c>
      <x:c r="F45" s="39" t="n">
        <x:f>IF(AND('고객경제성'!$E$52="입력 유효",COUNT($C$9,H$6)=2,C45&gt;=0,C45&lt;=1,D45&gt;=0,D45&lt;=1),MIN('고객경제성'!$E$50,E45),"입력 확인")</x:f>
        <x:v>150000</x:v>
      </x:c>
      <x:c r="G45" s="39" t="n">
        <x:f>IF(AND('고객경제성'!$E$52="입력 유효",COUNT($C$9,H$6)=2,C45&gt;=0,C45&lt;=1,D45&gt;=0,D45&lt;=1),F45/'고객경제성'!$E$33*'고객경제성'!$E$32/3600,"입력 확인")</x:f>
        <x:v>2976.190476190476</x:v>
      </x:c>
      <x:c r="H45" s="39" t="n">
        <x:f>IF(AND('고객경제성'!$E$52="입력 유효",COUNT($C$9,H$6)=2,C45&gt;=0,C45&lt;=1,D45&gt;=0,D45&lt;=1),'고객경제성'!$E$65+'고객경제성'!$E$62+G45*'고객경제성'!$E$34*'고객경제성'!$E$35/60*'고객경제성'!$E$36+G45*'고객경제성'!$E$43*'고객경제성'!$E$44+(F45/'고객경제성'!$E$33-F45)*'고객경제성'!$E$45,"입력 확인")</x:f>
        <x:v>19795.549886621313</x:v>
      </x:c>
      <x:c r="I45" s="39" t="n">
        <x:f>IF(AND('고객경제성'!$E$52="입력 유효",COUNT($C$9,H$6)=2,C45&gt;=0,C45&lt;=1,D45&gt;=0,D45&lt;=1),F45/(3600/'고객경제성'!$E$46*'고객경제성'!$E$47)*'고객경제성'!$E$48,"입력 확인")</x:f>
        <x:v>82181.74204355109</x:v>
      </x:c>
      <x:c r="J45" s="39" t="n">
        <x:f>IF(AND('고객경제성'!$E$52="입력 유효",COUNT($C$9,H$6)=2,C45&gt;=0,C45&lt;=1,D45&gt;=0,D45&lt;=1),I45*D45-H45,"입력 확인")</x:f>
        <x:v>33622.5824416869</x:v>
      </x:c>
      <x:c r="K45" s="41" t="n">
        <x:f>IF(AND('고객경제성'!$E$52="입력 유효",COUNT($C$9,H$6)=2,C45&gt;=0,C45&lt;=1,D45&gt;=0,D45&lt;=1),IF(J45&lt;=0,"회수불가",'고객경제성'!$E$55/J45),"입력 확인")</x:f>
        <x:v>2.5280628026541145</x:v>
      </x:c>
      <x:c r="L45" s="39" t="n">
        <x:f>IF(AND('고객경제성'!$E$52="입력 유효",COUNT($C$9,H$6)=2,C45&gt;=0,C45&lt;=1,D45&gt;=0,D45&lt;=1),-'고객경제성'!$E$55+IF('고객경제성'!$E$29=0,J45*'고객경제성'!$E$27,J45*(1-(1+'고객경제성'!$E$29)^(-'고객경제성'!$E$27))/'고객경제성'!$E$29)+'고객경제성'!$E$28/(1+'고객경제성'!$E$29)^'고객경제성'!$E$27,"입력 확인")</x:f>
        <x:v>42456.04067329159</x:v>
      </x:c>
      <x:c r="M45" s="39" t="n">
        <x:f>IF(AND('고객경제성'!$E$52="입력 유효",COUNT($C$9,H$6)=2,C45&gt;=0,C45&lt;=1,D45&gt;=0,D45&lt;=1),MAX(0,'고객경제성'!$E$50-F45),"입력 확인")</x:f>
        <x:v>0</x:v>
      </x:c>
    </x:row>
    <x:row r="46" ht="24" customHeight="1">
      <x:c r="A46" s="2"/>
      <x:c r="B46" s="2"/>
      <x:c r="C46" s="23" t="n">
        <x:f>$C$9</x:f>
        <x:v>0.75</x:v>
      </x:c>
      <x:c r="D46" s="23" t="n">
        <x:f>I$6</x:f>
        <x:v>0.8</x:v>
      </x:c>
      <x:c r="E46" s="39" t="n">
        <x:f>IF(AND('고객경제성'!$E$52="입력 유효",COUNT($C$9,I$6)=2,C46&gt;=0,C46&lt;=1,D46&gt;=0,D46&lt;=1),'고객경제성'!$E$30*C46*3600/'고객경제성'!$E$32*'고객경제성'!$E$33,"입력 확인")</x:f>
        <x:v>151200</x:v>
      </x:c>
      <x:c r="F46" s="39" t="n">
        <x:f>IF(AND('고객경제성'!$E$52="입력 유효",COUNT($C$9,I$6)=2,C46&gt;=0,C46&lt;=1,D46&gt;=0,D46&lt;=1),MIN('고객경제성'!$E$50,E46),"입력 확인")</x:f>
        <x:v>150000</x:v>
      </x:c>
      <x:c r="G46" s="39" t="n">
        <x:f>IF(AND('고객경제성'!$E$52="입력 유효",COUNT($C$9,I$6)=2,C46&gt;=0,C46&lt;=1,D46&gt;=0,D46&lt;=1),F46/'고객경제성'!$E$33*'고객경제성'!$E$32/3600,"입력 확인")</x:f>
        <x:v>2976.190476190476</x:v>
      </x:c>
      <x:c r="H46" s="39" t="n">
        <x:f>IF(AND('고객경제성'!$E$52="입력 유효",COUNT($C$9,I$6)=2,C46&gt;=0,C46&lt;=1,D46&gt;=0,D46&lt;=1),'고객경제성'!$E$65+'고객경제성'!$E$62+G46*'고객경제성'!$E$34*'고객경제성'!$E$35/60*'고객경제성'!$E$36+G46*'고객경제성'!$E$43*'고객경제성'!$E$44+(F46/'고객경제성'!$E$33-F46)*'고객경제성'!$E$45,"입력 확인")</x:f>
        <x:v>19795.549886621313</x:v>
      </x:c>
      <x:c r="I46" s="39" t="n">
        <x:f>IF(AND('고객경제성'!$E$52="입력 유효",COUNT($C$9,I$6)=2,C46&gt;=0,C46&lt;=1,D46&gt;=0,D46&lt;=1),F46/(3600/'고객경제성'!$E$46*'고객경제성'!$E$47)*'고객경제성'!$E$48,"입력 확인")</x:f>
        <x:v>82181.74204355109</x:v>
      </x:c>
      <x:c r="J46" s="39" t="n">
        <x:f>IF(AND('고객경제성'!$E$52="입력 유효",COUNT($C$9,I$6)=2,C46&gt;=0,C46&lt;=1,D46&gt;=0,D46&lt;=1),I46*D46-H46,"입력 확인")</x:f>
        <x:v>45949.84374821956</x:v>
      </x:c>
      <x:c r="K46" s="41" t="n">
        <x:f>IF(AND('고객경제성'!$E$52="입력 유효",COUNT($C$9,I$6)=2,C46&gt;=0,C46&lt;=1,D46&gt;=0,D46&lt;=1),IF(J46&lt;=0,"회수불가",'고객경제성'!$E$55/J46),"입력 확인")</x:f>
        <x:v>1.8498430694509933</x:v>
      </x:c>
      <x:c r="L46" s="39" t="n">
        <x:f>IF(AND('고객경제성'!$E$52="입력 유효",COUNT($C$9,I$6)=2,C46&gt;=0,C46&lt;=1,D46&gt;=0,D46&lt;=1),-'고객경제성'!$E$55+IF('고객경제성'!$E$29=0,J46*'고객경제성'!$E$27,J46*(1-(1+'고객경제성'!$E$29)^(-'고객경제성'!$E$27))/'고객경제성'!$E$29)+'고객경제성'!$E$28/(1+'고객경제성'!$E$29)^'고객경제성'!$E$27,"입력 확인")</x:f>
        <x:v>89186.0597371363</x:v>
      </x:c>
      <x:c r="M46" s="39" t="n">
        <x:f>IF(AND('고객경제성'!$E$52="입력 유효",COUNT($C$9,I$6)=2,C46&gt;=0,C46&lt;=1,D46&gt;=0,D46&lt;=1),MAX(0,'고객경제성'!$E$50-F46),"입력 확인")</x:f>
        <x:v>0</x:v>
      </x:c>
    </x:row>
    <x:row r="47" ht="24" customHeight="1">
      <x:c r="A47" s="2"/>
      <x:c r="B47" s="2"/>
      <x:c r="C47" s="23" t="n">
        <x:f>$C$9</x:f>
        <x:v>0.75</x:v>
      </x:c>
      <x:c r="D47" s="23" t="n">
        <x:f>J$6</x:f>
        <x:v>1</x:v>
      </x:c>
      <x:c r="E47" s="39" t="n">
        <x:f>IF(AND('고객경제성'!$E$52="입력 유효",COUNT($C$9,J$6)=2,C47&gt;=0,C47&lt;=1,D47&gt;=0,D47&lt;=1),'고객경제성'!$E$30*C47*3600/'고객경제성'!$E$32*'고객경제성'!$E$33,"입력 확인")</x:f>
        <x:v>151200</x:v>
      </x:c>
      <x:c r="F47" s="39" t="n">
        <x:f>IF(AND('고객경제성'!$E$52="입력 유효",COUNT($C$9,J$6)=2,C47&gt;=0,C47&lt;=1,D47&gt;=0,D47&lt;=1),MIN('고객경제성'!$E$50,E47),"입력 확인")</x:f>
        <x:v>150000</x:v>
      </x:c>
      <x:c r="G47" s="39" t="n">
        <x:f>IF(AND('고객경제성'!$E$52="입력 유효",COUNT($C$9,J$6)=2,C47&gt;=0,C47&lt;=1,D47&gt;=0,D47&lt;=1),F47/'고객경제성'!$E$33*'고객경제성'!$E$32/3600,"입력 확인")</x:f>
        <x:v>2976.190476190476</x:v>
      </x:c>
      <x:c r="H47" s="39" t="n">
        <x:f>IF(AND('고객경제성'!$E$52="입력 유효",COUNT($C$9,J$6)=2,C47&gt;=0,C47&lt;=1,D47&gt;=0,D47&lt;=1),'고객경제성'!$E$65+'고객경제성'!$E$62+G47*'고객경제성'!$E$34*'고객경제성'!$E$35/60*'고객경제성'!$E$36+G47*'고객경제성'!$E$43*'고객경제성'!$E$44+(F47/'고객경제성'!$E$33-F47)*'고객경제성'!$E$45,"입력 확인")</x:f>
        <x:v>19795.549886621313</x:v>
      </x:c>
      <x:c r="I47" s="39" t="n">
        <x:f>IF(AND('고객경제성'!$E$52="입력 유효",COUNT($C$9,J$6)=2,C47&gt;=0,C47&lt;=1,D47&gt;=0,D47&lt;=1),F47/(3600/'고객경제성'!$E$46*'고객경제성'!$E$47)*'고객경제성'!$E$48,"입력 확인")</x:f>
        <x:v>82181.74204355109</x:v>
      </x:c>
      <x:c r="J47" s="39" t="n">
        <x:f>IF(AND('고객경제성'!$E$52="입력 유효",COUNT($C$9,J$6)=2,C47&gt;=0,C47&lt;=1,D47&gt;=0,D47&lt;=1),I47*D47-H47,"입력 확인")</x:f>
        <x:v>62386.19215692977</x:v>
      </x:c>
      <x:c r="K47" s="41" t="n">
        <x:f>IF(AND('고객경제성'!$E$52="입력 유효",COUNT($C$9,J$6)=2,C47&gt;=0,C47&lt;=1,D47&gt;=0,D47&lt;=1),IF(J47&lt;=0,"회수불가",'고객경제성'!$E$55/J47),"입력 확인")</x:f>
        <x:v>1.3624809763382604</x:v>
      </x:c>
      <x:c r="L47" s="39" t="n">
        <x:f>IF(AND('고객경제성'!$E$52="입력 유효",COUNT($C$9,J$6)=2,C47&gt;=0,C47&lt;=1,D47&gt;=0,D47&lt;=1),-'고객경제성'!$E$55+IF('고객경제성'!$E$29=0,J47*'고객경제성'!$E$27,J47*(1-(1+'고객경제성'!$E$29)^(-'고객경제성'!$E$27))/'고객경제성'!$E$29)+'고객경제성'!$E$28/(1+'고객경제성'!$E$29)^'고객경제성'!$E$27,"입력 확인")</x:f>
        <x:v>151492.7518222626</x:v>
      </x:c>
      <x:c r="M47" s="39" t="n">
        <x:f>IF(AND('고객경제성'!$E$52="입력 유효",COUNT($C$9,J$6)=2,C47&gt;=0,C47&lt;=1,D47&gt;=0,D47&lt;=1),MAX(0,'고객경제성'!$E$50-F47),"입력 확인")</x:f>
        <x:v>0</x:v>
      </x:c>
    </x:row>
    <x:row r="48" ht="24" customHeight="1">
      <x:c r="A48" s="2"/>
      <x:c r="B48" s="2"/>
      <x:c r="C48" s="23" t="n">
        <x:f>$C$10</x:f>
        <x:v>0.82</x:v>
      </x:c>
      <x:c r="D48" s="23" t="n">
        <x:f>E$6</x:f>
        <x:v>0.25</x:v>
      </x:c>
      <x:c r="E48" s="39" t="n">
        <x:f>IF(AND('고객경제성'!$E$52="입력 유효",COUNT($C$10,E$6)=2,C48&gt;=0,C48&lt;=1,D48&gt;=0,D48&lt;=1),'고객경제성'!$E$30*C48*3600/'고객경제성'!$E$32*'고객경제성'!$E$33,"입력 확인")</x:f>
        <x:v>165312</x:v>
      </x:c>
      <x:c r="F48" s="39" t="n">
        <x:f>IF(AND('고객경제성'!$E$52="입력 유효",COUNT($C$10,E$6)=2,C48&gt;=0,C48&lt;=1,D48&gt;=0,D48&lt;=1),MIN('고객경제성'!$E$50,E48),"입력 확인")</x:f>
        <x:v>150000</x:v>
      </x:c>
      <x:c r="G48" s="39" t="n">
        <x:f>IF(AND('고객경제성'!$E$52="입력 유효",COUNT($C$10,E$6)=2,C48&gt;=0,C48&lt;=1,D48&gt;=0,D48&lt;=1),F48/'고객경제성'!$E$33*'고객경제성'!$E$32/3600,"입력 확인")</x:f>
        <x:v>2976.190476190476</x:v>
      </x:c>
      <x:c r="H48" s="39" t="n">
        <x:f>IF(AND('고객경제성'!$E$52="입력 유효",COUNT($C$10,E$6)=2,C48&gt;=0,C48&lt;=1,D48&gt;=0,D48&lt;=1),'고객경제성'!$E$65+'고객경제성'!$E$62+G48*'고객경제성'!$E$34*'고객경제성'!$E$35/60*'고객경제성'!$E$36+G48*'고객경제성'!$E$43*'고객경제성'!$E$44+(F48/'고객경제성'!$E$33-F48)*'고객경제성'!$E$45,"입력 확인")</x:f>
        <x:v>19795.549886621313</x:v>
      </x:c>
      <x:c r="I48" s="39" t="n">
        <x:f>IF(AND('고객경제성'!$E$52="입력 유효",COUNT($C$10,E$6)=2,C48&gt;=0,C48&lt;=1,D48&gt;=0,D48&lt;=1),F48/(3600/'고객경제성'!$E$46*'고객경제성'!$E$47)*'고객경제성'!$E$48,"입력 확인")</x:f>
        <x:v>82181.74204355109</x:v>
      </x:c>
      <x:c r="J48" s="39" t="n">
        <x:f>IF(AND('고객경제성'!$E$52="입력 유효",COUNT($C$10,E$6)=2,C48&gt;=0,C48&lt;=1,D48&gt;=0,D48&lt;=1),I48*D48-H48,"입력 확인")</x:f>
        <x:v>749.8856242664588</x:v>
      </x:c>
      <x:c r="K48" s="41" t="n">
        <x:f>IF(AND('고객경제성'!$E$52="입력 유효",COUNT($C$10,E$6)=2,C48&gt;=0,C48&lt;=1,D48&gt;=0,D48&lt;=1),IF(J48&lt;=0,"회수불가",'고객경제성'!$E$55/J48),"입력 확인")</x:f>
        <x:v>113.35061941365706</x:v>
      </x:c>
      <x:c r="L48" s="39" t="n">
        <x:f>IF(AND('고객경제성'!$E$52="입력 유효",COUNT($C$10,E$6)=2,C48&gt;=0,C48&lt;=1,D48&gt;=0,D48&lt;=1),-'고객경제성'!$E$55+IF('고객경제성'!$E$29=0,J48*'고객경제성'!$E$27,J48*(1-(1+'고객경제성'!$E$29)^(-'고객경제성'!$E$27))/'고객경제성'!$E$29)+'고객경제성'!$E$28/(1+'고객경제성'!$E$29)^'고객경제성'!$E$27,"입력 확인")</x:f>
        <x:v>-82157.34349696111</x:v>
      </x:c>
      <x:c r="M48" s="39" t="n">
        <x:f>IF(AND('고객경제성'!$E$52="입력 유효",COUNT($C$10,E$6)=2,C48&gt;=0,C48&lt;=1,D48&gt;=0,D48&lt;=1),MAX(0,'고객경제성'!$E$50-F48),"입력 확인")</x:f>
        <x:v>0</x:v>
      </x:c>
    </x:row>
    <x:row r="49" ht="24" customHeight="1">
      <x:c r="A49" s="2"/>
      <x:c r="B49" s="2"/>
      <x:c r="C49" s="23" t="n">
        <x:f>$C$10</x:f>
        <x:v>0.82</x:v>
      </x:c>
      <x:c r="D49" s="23" t="n">
        <x:f>F$6</x:f>
        <x:v>0.4</x:v>
      </x:c>
      <x:c r="E49" s="39" t="n">
        <x:f>IF(AND('고객경제성'!$E$52="입력 유효",COUNT($C$10,F$6)=2,C49&gt;=0,C49&lt;=1,D49&gt;=0,D49&lt;=1),'고객경제성'!$E$30*C49*3600/'고객경제성'!$E$32*'고객경제성'!$E$33,"입력 확인")</x:f>
        <x:v>165312</x:v>
      </x:c>
      <x:c r="F49" s="39" t="n">
        <x:f>IF(AND('고객경제성'!$E$52="입력 유효",COUNT($C$10,F$6)=2,C49&gt;=0,C49&lt;=1,D49&gt;=0,D49&lt;=1),MIN('고객경제성'!$E$50,E49),"입력 확인")</x:f>
        <x:v>150000</x:v>
      </x:c>
      <x:c r="G49" s="39" t="n">
        <x:f>IF(AND('고객경제성'!$E$52="입력 유효",COUNT($C$10,F$6)=2,C49&gt;=0,C49&lt;=1,D49&gt;=0,D49&lt;=1),F49/'고객경제성'!$E$33*'고객경제성'!$E$32/3600,"입력 확인")</x:f>
        <x:v>2976.190476190476</x:v>
      </x:c>
      <x:c r="H49" s="39" t="n">
        <x:f>IF(AND('고객경제성'!$E$52="입력 유효",COUNT($C$10,F$6)=2,C49&gt;=0,C49&lt;=1,D49&gt;=0,D49&lt;=1),'고객경제성'!$E$65+'고객경제성'!$E$62+G49*'고객경제성'!$E$34*'고객경제성'!$E$35/60*'고객경제성'!$E$36+G49*'고객경제성'!$E$43*'고객경제성'!$E$44+(F49/'고객경제성'!$E$33-F49)*'고객경제성'!$E$45,"입력 확인")</x:f>
        <x:v>19795.549886621313</x:v>
      </x:c>
      <x:c r="I49" s="39" t="n">
        <x:f>IF(AND('고객경제성'!$E$52="입력 유효",COUNT($C$10,F$6)=2,C49&gt;=0,C49&lt;=1,D49&gt;=0,D49&lt;=1),F49/(3600/'고객경제성'!$E$46*'고객경제성'!$E$47)*'고객경제성'!$E$48,"입력 확인")</x:f>
        <x:v>82181.74204355109</x:v>
      </x:c>
      <x:c r="J49" s="39" t="n">
        <x:f>IF(AND('고객경제성'!$E$52="입력 유효",COUNT($C$10,F$6)=2,C49&gt;=0,C49&lt;=1,D49&gt;=0,D49&lt;=1),I49*D49-H49,"입력 확인")</x:f>
        <x:v>13077.146930799125</x:v>
      </x:c>
      <x:c r="K49" s="41" t="n">
        <x:f>IF(AND('고객경제성'!$E$52="입력 유효",COUNT($C$10,F$6)=2,C49&gt;=0,C49&lt;=1,D49&gt;=0,D49&lt;=1),IF(J49&lt;=0,"회수불가",'고객경제성'!$E$55/J49),"입력 확인")</x:f>
        <x:v>6.499888733360418</x:v>
      </x:c>
      <x:c r="L49" s="39" t="n">
        <x:f>IF(AND('고객경제성'!$E$52="입력 유효",COUNT($C$10,F$6)=2,C49&gt;=0,C49&lt;=1,D49&gt;=0,D49&lt;=1),-'고객경제성'!$E$55+IF('고객경제성'!$E$29=0,J49*'고객경제성'!$E$27,J49*(1-(1+'고객경제성'!$E$29)^(-'고객경제성'!$E$27))/'고객경제성'!$E$29)+'고객경제성'!$E$28/(1+'고객경제성'!$E$29)^'고객경제성'!$E$27,"입력 확인")</x:f>
        <x:v>-35427.32443311635</x:v>
      </x:c>
      <x:c r="M49" s="39" t="n">
        <x:f>IF(AND('고객경제성'!$E$52="입력 유효",COUNT($C$10,F$6)=2,C49&gt;=0,C49&lt;=1,D49&gt;=0,D49&lt;=1),MAX(0,'고객경제성'!$E$50-F49),"입력 확인")</x:f>
        <x:v>0</x:v>
      </x:c>
    </x:row>
    <x:row r="50" ht="24" customHeight="1">
      <x:c r="A50" s="2"/>
      <x:c r="B50" s="2"/>
      <x:c r="C50" s="23" t="n">
        <x:f>$C$10</x:f>
        <x:v>0.82</x:v>
      </x:c>
      <x:c r="D50" s="23" t="n">
        <x:f>G$6</x:f>
        <x:v>0.55</x:v>
      </x:c>
      <x:c r="E50" s="39" t="n">
        <x:f>IF(AND('고객경제성'!$E$52="입력 유효",COUNT($C$10,G$6)=2,C50&gt;=0,C50&lt;=1,D50&gt;=0,D50&lt;=1),'고객경제성'!$E$30*C50*3600/'고객경제성'!$E$32*'고객경제성'!$E$33,"입력 확인")</x:f>
        <x:v>165312</x:v>
      </x:c>
      <x:c r="F50" s="39" t="n">
        <x:f>IF(AND('고객경제성'!$E$52="입력 유효",COUNT($C$10,G$6)=2,C50&gt;=0,C50&lt;=1,D50&gt;=0,D50&lt;=1),MIN('고객경제성'!$E$50,E50),"입력 확인")</x:f>
        <x:v>150000</x:v>
      </x:c>
      <x:c r="G50" s="39" t="n">
        <x:f>IF(AND('고객경제성'!$E$52="입력 유효",COUNT($C$10,G$6)=2,C50&gt;=0,C50&lt;=1,D50&gt;=0,D50&lt;=1),F50/'고객경제성'!$E$33*'고객경제성'!$E$32/3600,"입력 확인")</x:f>
        <x:v>2976.190476190476</x:v>
      </x:c>
      <x:c r="H50" s="39" t="n">
        <x:f>IF(AND('고객경제성'!$E$52="입력 유효",COUNT($C$10,G$6)=2,C50&gt;=0,C50&lt;=1,D50&gt;=0,D50&lt;=1),'고객경제성'!$E$65+'고객경제성'!$E$62+G50*'고객경제성'!$E$34*'고객경제성'!$E$35/60*'고객경제성'!$E$36+G50*'고객경제성'!$E$43*'고객경제성'!$E$44+(F50/'고객경제성'!$E$33-F50)*'고객경제성'!$E$45,"입력 확인")</x:f>
        <x:v>19795.549886621313</x:v>
      </x:c>
      <x:c r="I50" s="39" t="n">
        <x:f>IF(AND('고객경제성'!$E$52="입력 유효",COUNT($C$10,G$6)=2,C50&gt;=0,C50&lt;=1,D50&gt;=0,D50&lt;=1),F50/(3600/'고객경제성'!$E$46*'고객경제성'!$E$47)*'고객경제성'!$E$48,"입력 확인")</x:f>
        <x:v>82181.74204355109</x:v>
      </x:c>
      <x:c r="J50" s="39" t="n">
        <x:f>IF(AND('고객경제성'!$E$52="입력 유효",COUNT($C$10,G$6)=2,C50&gt;=0,C50&lt;=1,D50&gt;=0,D50&lt;=1),I50*D50-H50,"입력 확인")</x:f>
        <x:v>25404.40823733179</x:v>
      </x:c>
      <x:c r="K50" s="41" t="n">
        <x:f>IF(AND('고객경제성'!$E$52="입력 유효",COUNT($C$10,G$6)=2,C50&gt;=0,C50&lt;=1,D50&gt;=0,D50&lt;=1),IF(J50&lt;=0,"회수불가",'고객경제성'!$E$55/J50),"입력 확인")</x:f>
        <x:v>3.3458760072628837</x:v>
      </x:c>
      <x:c r="L50" s="39" t="n">
        <x:f>IF(AND('고객경제성'!$E$52="입력 유효",COUNT($C$10,G$6)=2,C50&gt;=0,C50&lt;=1,D50&gt;=0,D50&lt;=1),-'고객경제성'!$E$55+IF('고객경제성'!$E$29=0,J50*'고객경제성'!$E$27,J50*(1-(1+'고객경제성'!$E$29)^(-'고객경제성'!$E$27))/'고객경제성'!$E$29)+'고객경제성'!$E$28/(1+'고객경제성'!$E$29)^'고객경제성'!$E$27,"입력 확인")</x:f>
        <x:v>11302.694630728409</x:v>
      </x:c>
      <x:c r="M50" s="39" t="n">
        <x:f>IF(AND('고객경제성'!$E$52="입력 유효",COUNT($C$10,G$6)=2,C50&gt;=0,C50&lt;=1,D50&gt;=0,D50&lt;=1),MAX(0,'고객경제성'!$E$50-F50),"입력 확인")</x:f>
        <x:v>0</x:v>
      </x:c>
    </x:row>
    <x:row r="51" ht="24" customHeight="1">
      <x:c r="A51" s="2"/>
      <x:c r="B51" s="2"/>
      <x:c r="C51" s="23" t="n">
        <x:f>$C$10</x:f>
        <x:v>0.82</x:v>
      </x:c>
      <x:c r="D51" s="23" t="n">
        <x:f>H$6</x:f>
        <x:v>0.65</x:v>
      </x:c>
      <x:c r="E51" s="39" t="n">
        <x:f>IF(AND('고객경제성'!$E$52="입력 유효",COUNT($C$10,H$6)=2,C51&gt;=0,C51&lt;=1,D51&gt;=0,D51&lt;=1),'고객경제성'!$E$30*C51*3600/'고객경제성'!$E$32*'고객경제성'!$E$33,"입력 확인")</x:f>
        <x:v>165312</x:v>
      </x:c>
      <x:c r="F51" s="39" t="n">
        <x:f>IF(AND('고객경제성'!$E$52="입력 유효",COUNT($C$10,H$6)=2,C51&gt;=0,C51&lt;=1,D51&gt;=0,D51&lt;=1),MIN('고객경제성'!$E$50,E51),"입력 확인")</x:f>
        <x:v>150000</x:v>
      </x:c>
      <x:c r="G51" s="39" t="n">
        <x:f>IF(AND('고객경제성'!$E$52="입력 유효",COUNT($C$10,H$6)=2,C51&gt;=0,C51&lt;=1,D51&gt;=0,D51&lt;=1),F51/'고객경제성'!$E$33*'고객경제성'!$E$32/3600,"입력 확인")</x:f>
        <x:v>2976.190476190476</x:v>
      </x:c>
      <x:c r="H51" s="39" t="n">
        <x:f>IF(AND('고객경제성'!$E$52="입력 유효",COUNT($C$10,H$6)=2,C51&gt;=0,C51&lt;=1,D51&gt;=0,D51&lt;=1),'고객경제성'!$E$65+'고객경제성'!$E$62+G51*'고객경제성'!$E$34*'고객경제성'!$E$35/60*'고객경제성'!$E$36+G51*'고객경제성'!$E$43*'고객경제성'!$E$44+(F51/'고객경제성'!$E$33-F51)*'고객경제성'!$E$45,"입력 확인")</x:f>
        <x:v>19795.549886621313</x:v>
      </x:c>
      <x:c r="I51" s="39" t="n">
        <x:f>IF(AND('고객경제성'!$E$52="입력 유효",COUNT($C$10,H$6)=2,C51&gt;=0,C51&lt;=1,D51&gt;=0,D51&lt;=1),F51/(3600/'고객경제성'!$E$46*'고객경제성'!$E$47)*'고객경제성'!$E$48,"입력 확인")</x:f>
        <x:v>82181.74204355109</x:v>
      </x:c>
      <x:c r="J51" s="39" t="n">
        <x:f>IF(AND('고객경제성'!$E$52="입력 유효",COUNT($C$10,H$6)=2,C51&gt;=0,C51&lt;=1,D51&gt;=0,D51&lt;=1),I51*D51-H51,"입력 확인")</x:f>
        <x:v>33622.5824416869</x:v>
      </x:c>
      <x:c r="K51" s="41" t="n">
        <x:f>IF(AND('고객경제성'!$E$52="입력 유효",COUNT($C$10,H$6)=2,C51&gt;=0,C51&lt;=1,D51&gt;=0,D51&lt;=1),IF(J51&lt;=0,"회수불가",'고객경제성'!$E$55/J51),"입력 확인")</x:f>
        <x:v>2.5280628026541145</x:v>
      </x:c>
      <x:c r="L51" s="39" t="n">
        <x:f>IF(AND('고객경제성'!$E$52="입력 유효",COUNT($C$10,H$6)=2,C51&gt;=0,C51&lt;=1,D51&gt;=0,D51&lt;=1),-'고객경제성'!$E$55+IF('고객경제성'!$E$29=0,J51*'고객경제성'!$E$27,J51*(1-(1+'고객경제성'!$E$29)^(-'고객경제성'!$E$27))/'고객경제성'!$E$29)+'고객경제성'!$E$28/(1+'고객경제성'!$E$29)^'고객경제성'!$E$27,"입력 확인")</x:f>
        <x:v>42456.04067329159</x:v>
      </x:c>
      <x:c r="M51" s="39" t="n">
        <x:f>IF(AND('고객경제성'!$E$52="입력 유효",COUNT($C$10,H$6)=2,C51&gt;=0,C51&lt;=1,D51&gt;=0,D51&lt;=1),MAX(0,'고객경제성'!$E$50-F51),"입력 확인")</x:f>
        <x:v>0</x:v>
      </x:c>
    </x:row>
    <x:row r="52" ht="24" customHeight="1">
      <x:c r="A52" s="2"/>
      <x:c r="B52" s="2"/>
      <x:c r="C52" s="23" t="n">
        <x:f>$C$10</x:f>
        <x:v>0.82</x:v>
      </x:c>
      <x:c r="D52" s="23" t="n">
        <x:f>I$6</x:f>
        <x:v>0.8</x:v>
      </x:c>
      <x:c r="E52" s="39" t="n">
        <x:f>IF(AND('고객경제성'!$E$52="입력 유효",COUNT($C$10,I$6)=2,C52&gt;=0,C52&lt;=1,D52&gt;=0,D52&lt;=1),'고객경제성'!$E$30*C52*3600/'고객경제성'!$E$32*'고객경제성'!$E$33,"입력 확인")</x:f>
        <x:v>165312</x:v>
      </x:c>
      <x:c r="F52" s="39" t="n">
        <x:f>IF(AND('고객경제성'!$E$52="입력 유효",COUNT($C$10,I$6)=2,C52&gt;=0,C52&lt;=1,D52&gt;=0,D52&lt;=1),MIN('고객경제성'!$E$50,E52),"입력 확인")</x:f>
        <x:v>150000</x:v>
      </x:c>
      <x:c r="G52" s="39" t="n">
        <x:f>IF(AND('고객경제성'!$E$52="입력 유효",COUNT($C$10,I$6)=2,C52&gt;=0,C52&lt;=1,D52&gt;=0,D52&lt;=1),F52/'고객경제성'!$E$33*'고객경제성'!$E$32/3600,"입력 확인")</x:f>
        <x:v>2976.190476190476</x:v>
      </x:c>
      <x:c r="H52" s="39" t="n">
        <x:f>IF(AND('고객경제성'!$E$52="입력 유효",COUNT($C$10,I$6)=2,C52&gt;=0,C52&lt;=1,D52&gt;=0,D52&lt;=1),'고객경제성'!$E$65+'고객경제성'!$E$62+G52*'고객경제성'!$E$34*'고객경제성'!$E$35/60*'고객경제성'!$E$36+G52*'고객경제성'!$E$43*'고객경제성'!$E$44+(F52/'고객경제성'!$E$33-F52)*'고객경제성'!$E$45,"입력 확인")</x:f>
        <x:v>19795.549886621313</x:v>
      </x:c>
      <x:c r="I52" s="39" t="n">
        <x:f>IF(AND('고객경제성'!$E$52="입력 유효",COUNT($C$10,I$6)=2,C52&gt;=0,C52&lt;=1,D52&gt;=0,D52&lt;=1),F52/(3600/'고객경제성'!$E$46*'고객경제성'!$E$47)*'고객경제성'!$E$48,"입력 확인")</x:f>
        <x:v>82181.74204355109</x:v>
      </x:c>
      <x:c r="J52" s="39" t="n">
        <x:f>IF(AND('고객경제성'!$E$52="입력 유효",COUNT($C$10,I$6)=2,C52&gt;=0,C52&lt;=1,D52&gt;=0,D52&lt;=1),I52*D52-H52,"입력 확인")</x:f>
        <x:v>45949.84374821956</x:v>
      </x:c>
      <x:c r="K52" s="41" t="n">
        <x:f>IF(AND('고객경제성'!$E$52="입력 유효",COUNT($C$10,I$6)=2,C52&gt;=0,C52&lt;=1,D52&gt;=0,D52&lt;=1),IF(J52&lt;=0,"회수불가",'고객경제성'!$E$55/J52),"입력 확인")</x:f>
        <x:v>1.8498430694509933</x:v>
      </x:c>
      <x:c r="L52" s="39" t="n">
        <x:f>IF(AND('고객경제성'!$E$52="입력 유효",COUNT($C$10,I$6)=2,C52&gt;=0,C52&lt;=1,D52&gt;=0,D52&lt;=1),-'고객경제성'!$E$55+IF('고객경제성'!$E$29=0,J52*'고객경제성'!$E$27,J52*(1-(1+'고객경제성'!$E$29)^(-'고객경제성'!$E$27))/'고객경제성'!$E$29)+'고객경제성'!$E$28/(1+'고객경제성'!$E$29)^'고객경제성'!$E$27,"입력 확인")</x:f>
        <x:v>89186.0597371363</x:v>
      </x:c>
      <x:c r="M52" s="39" t="n">
        <x:f>IF(AND('고객경제성'!$E$52="입력 유효",COUNT($C$10,I$6)=2,C52&gt;=0,C52&lt;=1,D52&gt;=0,D52&lt;=1),MAX(0,'고객경제성'!$E$50-F52),"입력 확인")</x:f>
        <x:v>0</x:v>
      </x:c>
    </x:row>
    <x:row r="53" ht="24" customHeight="1">
      <x:c r="A53" s="2"/>
      <x:c r="B53" s="2"/>
      <x:c r="C53" s="23" t="n">
        <x:f>$C$10</x:f>
        <x:v>0.82</x:v>
      </x:c>
      <x:c r="D53" s="23" t="n">
        <x:f>J$6</x:f>
        <x:v>1</x:v>
      </x:c>
      <x:c r="E53" s="39" t="n">
        <x:f>IF(AND('고객경제성'!$E$52="입력 유효",COUNT($C$10,J$6)=2,C53&gt;=0,C53&lt;=1,D53&gt;=0,D53&lt;=1),'고객경제성'!$E$30*C53*3600/'고객경제성'!$E$32*'고객경제성'!$E$33,"입력 확인")</x:f>
        <x:v>165312</x:v>
      </x:c>
      <x:c r="F53" s="39" t="n">
        <x:f>IF(AND('고객경제성'!$E$52="입력 유효",COUNT($C$10,J$6)=2,C53&gt;=0,C53&lt;=1,D53&gt;=0,D53&lt;=1),MIN('고객경제성'!$E$50,E53),"입력 확인")</x:f>
        <x:v>150000</x:v>
      </x:c>
      <x:c r="G53" s="39" t="n">
        <x:f>IF(AND('고객경제성'!$E$52="입력 유효",COUNT($C$10,J$6)=2,C53&gt;=0,C53&lt;=1,D53&gt;=0,D53&lt;=1),F53/'고객경제성'!$E$33*'고객경제성'!$E$32/3600,"입력 확인")</x:f>
        <x:v>2976.190476190476</x:v>
      </x:c>
      <x:c r="H53" s="39" t="n">
        <x:f>IF(AND('고객경제성'!$E$52="입력 유효",COUNT($C$10,J$6)=2,C53&gt;=0,C53&lt;=1,D53&gt;=0,D53&lt;=1),'고객경제성'!$E$65+'고객경제성'!$E$62+G53*'고객경제성'!$E$34*'고객경제성'!$E$35/60*'고객경제성'!$E$36+G53*'고객경제성'!$E$43*'고객경제성'!$E$44+(F53/'고객경제성'!$E$33-F53)*'고객경제성'!$E$45,"입력 확인")</x:f>
        <x:v>19795.549886621313</x:v>
      </x:c>
      <x:c r="I53" s="39" t="n">
        <x:f>IF(AND('고객경제성'!$E$52="입력 유효",COUNT($C$10,J$6)=2,C53&gt;=0,C53&lt;=1,D53&gt;=0,D53&lt;=1),F53/(3600/'고객경제성'!$E$46*'고객경제성'!$E$47)*'고객경제성'!$E$48,"입력 확인")</x:f>
        <x:v>82181.74204355109</x:v>
      </x:c>
      <x:c r="J53" s="39" t="n">
        <x:f>IF(AND('고객경제성'!$E$52="입력 유효",COUNT($C$10,J$6)=2,C53&gt;=0,C53&lt;=1,D53&gt;=0,D53&lt;=1),I53*D53-H53,"입력 확인")</x:f>
        <x:v>62386.19215692977</x:v>
      </x:c>
      <x:c r="K53" s="41" t="n">
        <x:f>IF(AND('고객경제성'!$E$52="입력 유효",COUNT($C$10,J$6)=2,C53&gt;=0,C53&lt;=1,D53&gt;=0,D53&lt;=1),IF(J53&lt;=0,"회수불가",'고객경제성'!$E$55/J53),"입력 확인")</x:f>
        <x:v>1.3624809763382604</x:v>
      </x:c>
      <x:c r="L53" s="39" t="n">
        <x:f>IF(AND('고객경제성'!$E$52="입력 유효",COUNT($C$10,J$6)=2,C53&gt;=0,C53&lt;=1,D53&gt;=0,D53&lt;=1),-'고객경제성'!$E$55+IF('고객경제성'!$E$29=0,J53*'고객경제성'!$E$27,J53*(1-(1+'고객경제성'!$E$29)^(-'고객경제성'!$E$27))/'고객경제성'!$E$29)+'고객경제성'!$E$28/(1+'고객경제성'!$E$29)^'고객경제성'!$E$27,"입력 확인")</x:f>
        <x:v>151492.7518222626</x:v>
      </x:c>
      <x:c r="M53" s="39" t="n">
        <x:f>IF(AND('고객경제성'!$E$52="입력 유효",COUNT($C$10,J$6)=2,C53&gt;=0,C53&lt;=1,D53&gt;=0,D53&lt;=1),MAX(0,'고객경제성'!$E$50-F53),"입력 확인")</x:f>
        <x:v>0</x:v>
      </x:c>
    </x:row>
    <x:row r="54" ht="24" customHeight="1">
      <x:c r="A54" s="2"/>
      <x:c r="B54" s="2"/>
      <x:c r="C54" s="23" t="n">
        <x:f>$C$11</x:f>
        <x:v>0.9</x:v>
      </x:c>
      <x:c r="D54" s="23" t="n">
        <x:f>E$6</x:f>
        <x:v>0.25</x:v>
      </x:c>
      <x:c r="E54" s="39" t="n">
        <x:f>IF(AND('고객경제성'!$E$52="입력 유효",COUNT($C$11,E$6)=2,C54&gt;=0,C54&lt;=1,D54&gt;=0,D54&lt;=1),'고객경제성'!$E$30*C54*3600/'고객경제성'!$E$32*'고객경제성'!$E$33,"입력 확인")</x:f>
        <x:v>181439.99999999997</x:v>
      </x:c>
      <x:c r="F54" s="39" t="n">
        <x:f>IF(AND('고객경제성'!$E$52="입력 유효",COUNT($C$11,E$6)=2,C54&gt;=0,C54&lt;=1,D54&gt;=0,D54&lt;=1),MIN('고객경제성'!$E$50,E54),"입력 확인")</x:f>
        <x:v>150000</x:v>
      </x:c>
      <x:c r="G54" s="39" t="n">
        <x:f>IF(AND('고객경제성'!$E$52="입력 유효",COUNT($C$11,E$6)=2,C54&gt;=0,C54&lt;=1,D54&gt;=0,D54&lt;=1),F54/'고객경제성'!$E$33*'고객경제성'!$E$32/3600,"입력 확인")</x:f>
        <x:v>2976.190476190476</x:v>
      </x:c>
      <x:c r="H54" s="39" t="n">
        <x:f>IF(AND('고객경제성'!$E$52="입력 유효",COUNT($C$11,E$6)=2,C54&gt;=0,C54&lt;=1,D54&gt;=0,D54&lt;=1),'고객경제성'!$E$65+'고객경제성'!$E$62+G54*'고객경제성'!$E$34*'고객경제성'!$E$35/60*'고객경제성'!$E$36+G54*'고객경제성'!$E$43*'고객경제성'!$E$44+(F54/'고객경제성'!$E$33-F54)*'고객경제성'!$E$45,"입력 확인")</x:f>
        <x:v>19795.549886621313</x:v>
      </x:c>
      <x:c r="I54" s="39" t="n">
        <x:f>IF(AND('고객경제성'!$E$52="입력 유효",COUNT($C$11,E$6)=2,C54&gt;=0,C54&lt;=1,D54&gt;=0,D54&lt;=1),F54/(3600/'고객경제성'!$E$46*'고객경제성'!$E$47)*'고객경제성'!$E$48,"입력 확인")</x:f>
        <x:v>82181.74204355109</x:v>
      </x:c>
      <x:c r="J54" s="39" t="n">
        <x:f>IF(AND('고객경제성'!$E$52="입력 유효",COUNT($C$11,E$6)=2,C54&gt;=0,C54&lt;=1,D54&gt;=0,D54&lt;=1),I54*D54-H54,"입력 확인")</x:f>
        <x:v>749.8856242664588</x:v>
      </x:c>
      <x:c r="K54" s="41" t="n">
        <x:f>IF(AND('고객경제성'!$E$52="입력 유효",COUNT($C$11,E$6)=2,C54&gt;=0,C54&lt;=1,D54&gt;=0,D54&lt;=1),IF(J54&lt;=0,"회수불가",'고객경제성'!$E$55/J54),"입력 확인")</x:f>
        <x:v>113.35061941365706</x:v>
      </x:c>
      <x:c r="L54" s="39" t="n">
        <x:f>IF(AND('고객경제성'!$E$52="입력 유효",COUNT($C$11,E$6)=2,C54&gt;=0,C54&lt;=1,D54&gt;=0,D54&lt;=1),-'고객경제성'!$E$55+IF('고객경제성'!$E$29=0,J54*'고객경제성'!$E$27,J54*(1-(1+'고객경제성'!$E$29)^(-'고객경제성'!$E$27))/'고객경제성'!$E$29)+'고객경제성'!$E$28/(1+'고객경제성'!$E$29)^'고객경제성'!$E$27,"입력 확인")</x:f>
        <x:v>-82157.34349696111</x:v>
      </x:c>
      <x:c r="M54" s="39" t="n">
        <x:f>IF(AND('고객경제성'!$E$52="입력 유효",COUNT($C$11,E$6)=2,C54&gt;=0,C54&lt;=1,D54&gt;=0,D54&lt;=1),MAX(0,'고객경제성'!$E$50-F54),"입력 확인")</x:f>
        <x:v>0</x:v>
      </x:c>
    </x:row>
    <x:row r="55" ht="24" customHeight="1">
      <x:c r="A55" s="2"/>
      <x:c r="B55" s="2"/>
      <x:c r="C55" s="23" t="n">
        <x:f>$C$11</x:f>
        <x:v>0.9</x:v>
      </x:c>
      <x:c r="D55" s="23" t="n">
        <x:f>F$6</x:f>
        <x:v>0.4</x:v>
      </x:c>
      <x:c r="E55" s="39" t="n">
        <x:f>IF(AND('고객경제성'!$E$52="입력 유효",COUNT($C$11,F$6)=2,C55&gt;=0,C55&lt;=1,D55&gt;=0,D55&lt;=1),'고객경제성'!$E$30*C55*3600/'고객경제성'!$E$32*'고객경제성'!$E$33,"입력 확인")</x:f>
        <x:v>181439.99999999997</x:v>
      </x:c>
      <x:c r="F55" s="39" t="n">
        <x:f>IF(AND('고객경제성'!$E$52="입력 유효",COUNT($C$11,F$6)=2,C55&gt;=0,C55&lt;=1,D55&gt;=0,D55&lt;=1),MIN('고객경제성'!$E$50,E55),"입력 확인")</x:f>
        <x:v>150000</x:v>
      </x:c>
      <x:c r="G55" s="39" t="n">
        <x:f>IF(AND('고객경제성'!$E$52="입력 유효",COUNT($C$11,F$6)=2,C55&gt;=0,C55&lt;=1,D55&gt;=0,D55&lt;=1),F55/'고객경제성'!$E$33*'고객경제성'!$E$32/3600,"입력 확인")</x:f>
        <x:v>2976.190476190476</x:v>
      </x:c>
      <x:c r="H55" s="39" t="n">
        <x:f>IF(AND('고객경제성'!$E$52="입력 유효",COUNT($C$11,F$6)=2,C55&gt;=0,C55&lt;=1,D55&gt;=0,D55&lt;=1),'고객경제성'!$E$65+'고객경제성'!$E$62+G55*'고객경제성'!$E$34*'고객경제성'!$E$35/60*'고객경제성'!$E$36+G55*'고객경제성'!$E$43*'고객경제성'!$E$44+(F55/'고객경제성'!$E$33-F55)*'고객경제성'!$E$45,"입력 확인")</x:f>
        <x:v>19795.549886621313</x:v>
      </x:c>
      <x:c r="I55" s="39" t="n">
        <x:f>IF(AND('고객경제성'!$E$52="입력 유효",COUNT($C$11,F$6)=2,C55&gt;=0,C55&lt;=1,D55&gt;=0,D55&lt;=1),F55/(3600/'고객경제성'!$E$46*'고객경제성'!$E$47)*'고객경제성'!$E$48,"입력 확인")</x:f>
        <x:v>82181.74204355109</x:v>
      </x:c>
      <x:c r="J55" s="39" t="n">
        <x:f>IF(AND('고객경제성'!$E$52="입력 유효",COUNT($C$11,F$6)=2,C55&gt;=0,C55&lt;=1,D55&gt;=0,D55&lt;=1),I55*D55-H55,"입력 확인")</x:f>
        <x:v>13077.146930799125</x:v>
      </x:c>
      <x:c r="K55" s="41" t="n">
        <x:f>IF(AND('고객경제성'!$E$52="입력 유효",COUNT($C$11,F$6)=2,C55&gt;=0,C55&lt;=1,D55&gt;=0,D55&lt;=1),IF(J55&lt;=0,"회수불가",'고객경제성'!$E$55/J55),"입력 확인")</x:f>
        <x:v>6.499888733360418</x:v>
      </x:c>
      <x:c r="L55" s="39" t="n">
        <x:f>IF(AND('고객경제성'!$E$52="입력 유효",COUNT($C$11,F$6)=2,C55&gt;=0,C55&lt;=1,D55&gt;=0,D55&lt;=1),-'고객경제성'!$E$55+IF('고객경제성'!$E$29=0,J55*'고객경제성'!$E$27,J55*(1-(1+'고객경제성'!$E$29)^(-'고객경제성'!$E$27))/'고객경제성'!$E$29)+'고객경제성'!$E$28/(1+'고객경제성'!$E$29)^'고객경제성'!$E$27,"입력 확인")</x:f>
        <x:v>-35427.32443311635</x:v>
      </x:c>
      <x:c r="M55" s="39" t="n">
        <x:f>IF(AND('고객경제성'!$E$52="입력 유효",COUNT($C$11,F$6)=2,C55&gt;=0,C55&lt;=1,D55&gt;=0,D55&lt;=1),MAX(0,'고객경제성'!$E$50-F55),"입력 확인")</x:f>
        <x:v>0</x:v>
      </x:c>
    </x:row>
    <x:row r="56" ht="24" customHeight="1">
      <x:c r="A56" s="2"/>
      <x:c r="B56" s="2"/>
      <x:c r="C56" s="23" t="n">
        <x:f>$C$11</x:f>
        <x:v>0.9</x:v>
      </x:c>
      <x:c r="D56" s="23" t="n">
        <x:f>G$6</x:f>
        <x:v>0.55</x:v>
      </x:c>
      <x:c r="E56" s="39" t="n">
        <x:f>IF(AND('고객경제성'!$E$52="입력 유효",COUNT($C$11,G$6)=2,C56&gt;=0,C56&lt;=1,D56&gt;=0,D56&lt;=1),'고객경제성'!$E$30*C56*3600/'고객경제성'!$E$32*'고객경제성'!$E$33,"입력 확인")</x:f>
        <x:v>181439.99999999997</x:v>
      </x:c>
      <x:c r="F56" s="39" t="n">
        <x:f>IF(AND('고객경제성'!$E$52="입력 유효",COUNT($C$11,G$6)=2,C56&gt;=0,C56&lt;=1,D56&gt;=0,D56&lt;=1),MIN('고객경제성'!$E$50,E56),"입력 확인")</x:f>
        <x:v>150000</x:v>
      </x:c>
      <x:c r="G56" s="39" t="n">
        <x:f>IF(AND('고객경제성'!$E$52="입력 유효",COUNT($C$11,G$6)=2,C56&gt;=0,C56&lt;=1,D56&gt;=0,D56&lt;=1),F56/'고객경제성'!$E$33*'고객경제성'!$E$32/3600,"입력 확인")</x:f>
        <x:v>2976.190476190476</x:v>
      </x:c>
      <x:c r="H56" s="39" t="n">
        <x:f>IF(AND('고객경제성'!$E$52="입력 유효",COUNT($C$11,G$6)=2,C56&gt;=0,C56&lt;=1,D56&gt;=0,D56&lt;=1),'고객경제성'!$E$65+'고객경제성'!$E$62+G56*'고객경제성'!$E$34*'고객경제성'!$E$35/60*'고객경제성'!$E$36+G56*'고객경제성'!$E$43*'고객경제성'!$E$44+(F56/'고객경제성'!$E$33-F56)*'고객경제성'!$E$45,"입력 확인")</x:f>
        <x:v>19795.549886621313</x:v>
      </x:c>
      <x:c r="I56" s="39" t="n">
        <x:f>IF(AND('고객경제성'!$E$52="입력 유효",COUNT($C$11,G$6)=2,C56&gt;=0,C56&lt;=1,D56&gt;=0,D56&lt;=1),F56/(3600/'고객경제성'!$E$46*'고객경제성'!$E$47)*'고객경제성'!$E$48,"입력 확인")</x:f>
        <x:v>82181.74204355109</x:v>
      </x:c>
      <x:c r="J56" s="39" t="n">
        <x:f>IF(AND('고객경제성'!$E$52="입력 유효",COUNT($C$11,G$6)=2,C56&gt;=0,C56&lt;=1,D56&gt;=0,D56&lt;=1),I56*D56-H56,"입력 확인")</x:f>
        <x:v>25404.40823733179</x:v>
      </x:c>
      <x:c r="K56" s="41" t="n">
        <x:f>IF(AND('고객경제성'!$E$52="입력 유효",COUNT($C$11,G$6)=2,C56&gt;=0,C56&lt;=1,D56&gt;=0,D56&lt;=1),IF(J56&lt;=0,"회수불가",'고객경제성'!$E$55/J56),"입력 확인")</x:f>
        <x:v>3.3458760072628837</x:v>
      </x:c>
      <x:c r="L56" s="39" t="n">
        <x:f>IF(AND('고객경제성'!$E$52="입력 유효",COUNT($C$11,G$6)=2,C56&gt;=0,C56&lt;=1,D56&gt;=0,D56&lt;=1),-'고객경제성'!$E$55+IF('고객경제성'!$E$29=0,J56*'고객경제성'!$E$27,J56*(1-(1+'고객경제성'!$E$29)^(-'고객경제성'!$E$27))/'고객경제성'!$E$29)+'고객경제성'!$E$28/(1+'고객경제성'!$E$29)^'고객경제성'!$E$27,"입력 확인")</x:f>
        <x:v>11302.694630728409</x:v>
      </x:c>
      <x:c r="M56" s="39" t="n">
        <x:f>IF(AND('고객경제성'!$E$52="입력 유효",COUNT($C$11,G$6)=2,C56&gt;=0,C56&lt;=1,D56&gt;=0,D56&lt;=1),MAX(0,'고객경제성'!$E$50-F56),"입력 확인")</x:f>
        <x:v>0</x:v>
      </x:c>
    </x:row>
    <x:row r="57" ht="24" customHeight="1">
      <x:c r="A57" s="2"/>
      <x:c r="B57" s="2"/>
      <x:c r="C57" s="23" t="n">
        <x:f>$C$11</x:f>
        <x:v>0.9</x:v>
      </x:c>
      <x:c r="D57" s="23" t="n">
        <x:f>H$6</x:f>
        <x:v>0.65</x:v>
      </x:c>
      <x:c r="E57" s="39" t="n">
        <x:f>IF(AND('고객경제성'!$E$52="입력 유효",COUNT($C$11,H$6)=2,C57&gt;=0,C57&lt;=1,D57&gt;=0,D57&lt;=1),'고객경제성'!$E$30*C57*3600/'고객경제성'!$E$32*'고객경제성'!$E$33,"입력 확인")</x:f>
        <x:v>181439.99999999997</x:v>
      </x:c>
      <x:c r="F57" s="39" t="n">
        <x:f>IF(AND('고객경제성'!$E$52="입력 유효",COUNT($C$11,H$6)=2,C57&gt;=0,C57&lt;=1,D57&gt;=0,D57&lt;=1),MIN('고객경제성'!$E$50,E57),"입력 확인")</x:f>
        <x:v>150000</x:v>
      </x:c>
      <x:c r="G57" s="39" t="n">
        <x:f>IF(AND('고객경제성'!$E$52="입력 유효",COUNT($C$11,H$6)=2,C57&gt;=0,C57&lt;=1,D57&gt;=0,D57&lt;=1),F57/'고객경제성'!$E$33*'고객경제성'!$E$32/3600,"입력 확인")</x:f>
        <x:v>2976.190476190476</x:v>
      </x:c>
      <x:c r="H57" s="39" t="n">
        <x:f>IF(AND('고객경제성'!$E$52="입력 유효",COUNT($C$11,H$6)=2,C57&gt;=0,C57&lt;=1,D57&gt;=0,D57&lt;=1),'고객경제성'!$E$65+'고객경제성'!$E$62+G57*'고객경제성'!$E$34*'고객경제성'!$E$35/60*'고객경제성'!$E$36+G57*'고객경제성'!$E$43*'고객경제성'!$E$44+(F57/'고객경제성'!$E$33-F57)*'고객경제성'!$E$45,"입력 확인")</x:f>
        <x:v>19795.549886621313</x:v>
      </x:c>
      <x:c r="I57" s="39" t="n">
        <x:f>IF(AND('고객경제성'!$E$52="입력 유효",COUNT($C$11,H$6)=2,C57&gt;=0,C57&lt;=1,D57&gt;=0,D57&lt;=1),F57/(3600/'고객경제성'!$E$46*'고객경제성'!$E$47)*'고객경제성'!$E$48,"입력 확인")</x:f>
        <x:v>82181.74204355109</x:v>
      </x:c>
      <x:c r="J57" s="39" t="n">
        <x:f>IF(AND('고객경제성'!$E$52="입력 유효",COUNT($C$11,H$6)=2,C57&gt;=0,C57&lt;=1,D57&gt;=0,D57&lt;=1),I57*D57-H57,"입력 확인")</x:f>
        <x:v>33622.5824416869</x:v>
      </x:c>
      <x:c r="K57" s="41" t="n">
        <x:f>IF(AND('고객경제성'!$E$52="입력 유효",COUNT($C$11,H$6)=2,C57&gt;=0,C57&lt;=1,D57&gt;=0,D57&lt;=1),IF(J57&lt;=0,"회수불가",'고객경제성'!$E$55/J57),"입력 확인")</x:f>
        <x:v>2.5280628026541145</x:v>
      </x:c>
      <x:c r="L57" s="39" t="n">
        <x:f>IF(AND('고객경제성'!$E$52="입력 유효",COUNT($C$11,H$6)=2,C57&gt;=0,C57&lt;=1,D57&gt;=0,D57&lt;=1),-'고객경제성'!$E$55+IF('고객경제성'!$E$29=0,J57*'고객경제성'!$E$27,J57*(1-(1+'고객경제성'!$E$29)^(-'고객경제성'!$E$27))/'고객경제성'!$E$29)+'고객경제성'!$E$28/(1+'고객경제성'!$E$29)^'고객경제성'!$E$27,"입력 확인")</x:f>
        <x:v>42456.04067329159</x:v>
      </x:c>
      <x:c r="M57" s="39" t="n">
        <x:f>IF(AND('고객경제성'!$E$52="입력 유효",COUNT($C$11,H$6)=2,C57&gt;=0,C57&lt;=1,D57&gt;=0,D57&lt;=1),MAX(0,'고객경제성'!$E$50-F57),"입력 확인")</x:f>
        <x:v>0</x:v>
      </x:c>
    </x:row>
    <x:row r="58" ht="24" customHeight="1">
      <x:c r="A58" s="2"/>
      <x:c r="B58" s="2"/>
      <x:c r="C58" s="23" t="n">
        <x:f>$C$11</x:f>
        <x:v>0.9</x:v>
      </x:c>
      <x:c r="D58" s="23" t="n">
        <x:f>I$6</x:f>
        <x:v>0.8</x:v>
      </x:c>
      <x:c r="E58" s="39" t="n">
        <x:f>IF(AND('고객경제성'!$E$52="입력 유효",COUNT($C$11,I$6)=2,C58&gt;=0,C58&lt;=1,D58&gt;=0,D58&lt;=1),'고객경제성'!$E$30*C58*3600/'고객경제성'!$E$32*'고객경제성'!$E$33,"입력 확인")</x:f>
        <x:v>181439.99999999997</x:v>
      </x:c>
      <x:c r="F58" s="39" t="n">
        <x:f>IF(AND('고객경제성'!$E$52="입력 유효",COUNT($C$11,I$6)=2,C58&gt;=0,C58&lt;=1,D58&gt;=0,D58&lt;=1),MIN('고객경제성'!$E$50,E58),"입력 확인")</x:f>
        <x:v>150000</x:v>
      </x:c>
      <x:c r="G58" s="39" t="n">
        <x:f>IF(AND('고객경제성'!$E$52="입력 유효",COUNT($C$11,I$6)=2,C58&gt;=0,C58&lt;=1,D58&gt;=0,D58&lt;=1),F58/'고객경제성'!$E$33*'고객경제성'!$E$32/3600,"입력 확인")</x:f>
        <x:v>2976.190476190476</x:v>
      </x:c>
      <x:c r="H58" s="39" t="n">
        <x:f>IF(AND('고객경제성'!$E$52="입력 유효",COUNT($C$11,I$6)=2,C58&gt;=0,C58&lt;=1,D58&gt;=0,D58&lt;=1),'고객경제성'!$E$65+'고객경제성'!$E$62+G58*'고객경제성'!$E$34*'고객경제성'!$E$35/60*'고객경제성'!$E$36+G58*'고객경제성'!$E$43*'고객경제성'!$E$44+(F58/'고객경제성'!$E$33-F58)*'고객경제성'!$E$45,"입력 확인")</x:f>
        <x:v>19795.549886621313</x:v>
      </x:c>
      <x:c r="I58" s="39" t="n">
        <x:f>IF(AND('고객경제성'!$E$52="입력 유효",COUNT($C$11,I$6)=2,C58&gt;=0,C58&lt;=1,D58&gt;=0,D58&lt;=1),F58/(3600/'고객경제성'!$E$46*'고객경제성'!$E$47)*'고객경제성'!$E$48,"입력 확인")</x:f>
        <x:v>82181.74204355109</x:v>
      </x:c>
      <x:c r="J58" s="39" t="n">
        <x:f>IF(AND('고객경제성'!$E$52="입력 유효",COUNT($C$11,I$6)=2,C58&gt;=0,C58&lt;=1,D58&gt;=0,D58&lt;=1),I58*D58-H58,"입력 확인")</x:f>
        <x:v>45949.84374821956</x:v>
      </x:c>
      <x:c r="K58" s="41" t="n">
        <x:f>IF(AND('고객경제성'!$E$52="입력 유효",COUNT($C$11,I$6)=2,C58&gt;=0,C58&lt;=1,D58&gt;=0,D58&lt;=1),IF(J58&lt;=0,"회수불가",'고객경제성'!$E$55/J58),"입력 확인")</x:f>
        <x:v>1.8498430694509933</x:v>
      </x:c>
      <x:c r="L58" s="39" t="n">
        <x:f>IF(AND('고객경제성'!$E$52="입력 유효",COUNT($C$11,I$6)=2,C58&gt;=0,C58&lt;=1,D58&gt;=0,D58&lt;=1),-'고객경제성'!$E$55+IF('고객경제성'!$E$29=0,J58*'고객경제성'!$E$27,J58*(1-(1+'고객경제성'!$E$29)^(-'고객경제성'!$E$27))/'고객경제성'!$E$29)+'고객경제성'!$E$28/(1+'고객경제성'!$E$29)^'고객경제성'!$E$27,"입력 확인")</x:f>
        <x:v>89186.0597371363</x:v>
      </x:c>
      <x:c r="M58" s="39" t="n">
        <x:f>IF(AND('고객경제성'!$E$52="입력 유효",COUNT($C$11,I$6)=2,C58&gt;=0,C58&lt;=1,D58&gt;=0,D58&lt;=1),MAX(0,'고객경제성'!$E$50-F58),"입력 확인")</x:f>
        <x:v>0</x:v>
      </x:c>
    </x:row>
    <x:row r="59" ht="24" customHeight="1">
      <x:c r="A59" s="2"/>
      <x:c r="B59" s="2"/>
      <x:c r="C59" s="23" t="n">
        <x:f>$C$11</x:f>
        <x:v>0.9</x:v>
      </x:c>
      <x:c r="D59" s="23" t="n">
        <x:f>J$6</x:f>
        <x:v>1</x:v>
      </x:c>
      <x:c r="E59" s="39" t="n">
        <x:f>IF(AND('고객경제성'!$E$52="입력 유효",COUNT($C$11,J$6)=2,C59&gt;=0,C59&lt;=1,D59&gt;=0,D59&lt;=1),'고객경제성'!$E$30*C59*3600/'고객경제성'!$E$32*'고객경제성'!$E$33,"입력 확인")</x:f>
        <x:v>181439.99999999997</x:v>
      </x:c>
      <x:c r="F59" s="39" t="n">
        <x:f>IF(AND('고객경제성'!$E$52="입력 유효",COUNT($C$11,J$6)=2,C59&gt;=0,C59&lt;=1,D59&gt;=0,D59&lt;=1),MIN('고객경제성'!$E$50,E59),"입력 확인")</x:f>
        <x:v>150000</x:v>
      </x:c>
      <x:c r="G59" s="39" t="n">
        <x:f>IF(AND('고객경제성'!$E$52="입력 유효",COUNT($C$11,J$6)=2,C59&gt;=0,C59&lt;=1,D59&gt;=0,D59&lt;=1),F59/'고객경제성'!$E$33*'고객경제성'!$E$32/3600,"입력 확인")</x:f>
        <x:v>2976.190476190476</x:v>
      </x:c>
      <x:c r="H59" s="39" t="n">
        <x:f>IF(AND('고객경제성'!$E$52="입력 유효",COUNT($C$11,J$6)=2,C59&gt;=0,C59&lt;=1,D59&gt;=0,D59&lt;=1),'고객경제성'!$E$65+'고객경제성'!$E$62+G59*'고객경제성'!$E$34*'고객경제성'!$E$35/60*'고객경제성'!$E$36+G59*'고객경제성'!$E$43*'고객경제성'!$E$44+(F59/'고객경제성'!$E$33-F59)*'고객경제성'!$E$45,"입력 확인")</x:f>
        <x:v>19795.549886621313</x:v>
      </x:c>
      <x:c r="I59" s="39" t="n">
        <x:f>IF(AND('고객경제성'!$E$52="입력 유효",COUNT($C$11,J$6)=2,C59&gt;=0,C59&lt;=1,D59&gt;=0,D59&lt;=1),F59/(3600/'고객경제성'!$E$46*'고객경제성'!$E$47)*'고객경제성'!$E$48,"입력 확인")</x:f>
        <x:v>82181.74204355109</x:v>
      </x:c>
      <x:c r="J59" s="39" t="n">
        <x:f>IF(AND('고객경제성'!$E$52="입력 유효",COUNT($C$11,J$6)=2,C59&gt;=0,C59&lt;=1,D59&gt;=0,D59&lt;=1),I59*D59-H59,"입력 확인")</x:f>
        <x:v>62386.19215692977</x:v>
      </x:c>
      <x:c r="K59" s="41" t="n">
        <x:f>IF(AND('고객경제성'!$E$52="입력 유효",COUNT($C$11,J$6)=2,C59&gt;=0,C59&lt;=1,D59&gt;=0,D59&lt;=1),IF(J59&lt;=0,"회수불가",'고객경제성'!$E$55/J59),"입력 확인")</x:f>
        <x:v>1.3624809763382604</x:v>
      </x:c>
      <x:c r="L59" s="39" t="n">
        <x:f>IF(AND('고객경제성'!$E$52="입력 유효",COUNT($C$11,J$6)=2,C59&gt;=0,C59&lt;=1,D59&gt;=0,D59&lt;=1),-'고객경제성'!$E$55+IF('고객경제성'!$E$29=0,J59*'고객경제성'!$E$27,J59*(1-(1+'고객경제성'!$E$29)^(-'고객경제성'!$E$27))/'고객경제성'!$E$29)+'고객경제성'!$E$28/(1+'고객경제성'!$E$29)^'고객경제성'!$E$27,"입력 확인")</x:f>
        <x:v>151492.7518222626</x:v>
      </x:c>
      <x:c r="M59" s="39" t="n">
        <x:f>IF(AND('고객경제성'!$E$52="입력 유효",COUNT($C$11,J$6)=2,C59&gt;=0,C59&lt;=1,D59&gt;=0,D59&lt;=1),MAX(0,'고객경제성'!$E$50-F59),"입력 확인")</x:f>
        <x:v>0</x:v>
      </x:c>
    </x:row>
    <x:row r="60" ht="24" customHeight="1">
      <x:c r="A60" s="2"/>
      <x:c r="B60" s="2"/>
      <x:c r="C60" s="23" t="n">
        <x:f>$C$12</x:f>
        <x:v>0.95</x:v>
      </x:c>
      <x:c r="D60" s="23" t="n">
        <x:f>E$6</x:f>
        <x:v>0.25</x:v>
      </x:c>
      <x:c r="E60" s="39" t="n">
        <x:f>IF(AND('고객경제성'!$E$52="입력 유효",COUNT($C$12,E$6)=2,C60&gt;=0,C60&lt;=1,D60&gt;=0,D60&lt;=1),'고객경제성'!$E$30*C60*3600/'고객경제성'!$E$32*'고객경제성'!$E$33,"입력 확인")</x:f>
        <x:v>191520</x:v>
      </x:c>
      <x:c r="F60" s="39" t="n">
        <x:f>IF(AND('고객경제성'!$E$52="입력 유효",COUNT($C$12,E$6)=2,C60&gt;=0,C60&lt;=1,D60&gt;=0,D60&lt;=1),MIN('고객경제성'!$E$50,E60),"입력 확인")</x:f>
        <x:v>150000</x:v>
      </x:c>
      <x:c r="G60" s="39" t="n">
        <x:f>IF(AND('고객경제성'!$E$52="입력 유효",COUNT($C$12,E$6)=2,C60&gt;=0,C60&lt;=1,D60&gt;=0,D60&lt;=1),F60/'고객경제성'!$E$33*'고객경제성'!$E$32/3600,"입력 확인")</x:f>
        <x:v>2976.190476190476</x:v>
      </x:c>
      <x:c r="H60" s="39" t="n">
        <x:f>IF(AND('고객경제성'!$E$52="입력 유효",COUNT($C$12,E$6)=2,C60&gt;=0,C60&lt;=1,D60&gt;=0,D60&lt;=1),'고객경제성'!$E$65+'고객경제성'!$E$62+G60*'고객경제성'!$E$34*'고객경제성'!$E$35/60*'고객경제성'!$E$36+G60*'고객경제성'!$E$43*'고객경제성'!$E$44+(F60/'고객경제성'!$E$33-F60)*'고객경제성'!$E$45,"입력 확인")</x:f>
        <x:v>19795.549886621313</x:v>
      </x:c>
      <x:c r="I60" s="39" t="n">
        <x:f>IF(AND('고객경제성'!$E$52="입력 유효",COUNT($C$12,E$6)=2,C60&gt;=0,C60&lt;=1,D60&gt;=0,D60&lt;=1),F60/(3600/'고객경제성'!$E$46*'고객경제성'!$E$47)*'고객경제성'!$E$48,"입력 확인")</x:f>
        <x:v>82181.74204355109</x:v>
      </x:c>
      <x:c r="J60" s="39" t="n">
        <x:f>IF(AND('고객경제성'!$E$52="입력 유효",COUNT($C$12,E$6)=2,C60&gt;=0,C60&lt;=1,D60&gt;=0,D60&lt;=1),I60*D60-H60,"입력 확인")</x:f>
        <x:v>749.8856242664588</x:v>
      </x:c>
      <x:c r="K60" s="41" t="n">
        <x:f>IF(AND('고객경제성'!$E$52="입력 유효",COUNT($C$12,E$6)=2,C60&gt;=0,C60&lt;=1,D60&gt;=0,D60&lt;=1),IF(J60&lt;=0,"회수불가",'고객경제성'!$E$55/J60),"입력 확인")</x:f>
        <x:v>113.35061941365706</x:v>
      </x:c>
      <x:c r="L60" s="39" t="n">
        <x:f>IF(AND('고객경제성'!$E$52="입력 유효",COUNT($C$12,E$6)=2,C60&gt;=0,C60&lt;=1,D60&gt;=0,D60&lt;=1),-'고객경제성'!$E$55+IF('고객경제성'!$E$29=0,J60*'고객경제성'!$E$27,J60*(1-(1+'고객경제성'!$E$29)^(-'고객경제성'!$E$27))/'고객경제성'!$E$29)+'고객경제성'!$E$28/(1+'고객경제성'!$E$29)^'고객경제성'!$E$27,"입력 확인")</x:f>
        <x:v>-82157.34349696111</x:v>
      </x:c>
      <x:c r="M60" s="39" t="n">
        <x:f>IF(AND('고객경제성'!$E$52="입력 유효",COUNT($C$12,E$6)=2,C60&gt;=0,C60&lt;=1,D60&gt;=0,D60&lt;=1),MAX(0,'고객경제성'!$E$50-F60),"입력 확인")</x:f>
        <x:v>0</x:v>
      </x:c>
    </x:row>
    <x:row r="61" ht="24" customHeight="1">
      <x:c r="A61" s="2"/>
      <x:c r="B61" s="2"/>
      <x:c r="C61" s="23" t="n">
        <x:f>$C$12</x:f>
        <x:v>0.95</x:v>
      </x:c>
      <x:c r="D61" s="23" t="n">
        <x:f>F$6</x:f>
        <x:v>0.4</x:v>
      </x:c>
      <x:c r="E61" s="39" t="n">
        <x:f>IF(AND('고객경제성'!$E$52="입력 유효",COUNT($C$12,F$6)=2,C61&gt;=0,C61&lt;=1,D61&gt;=0,D61&lt;=1),'고객경제성'!$E$30*C61*3600/'고객경제성'!$E$32*'고객경제성'!$E$33,"입력 확인")</x:f>
        <x:v>191520</x:v>
      </x:c>
      <x:c r="F61" s="39" t="n">
        <x:f>IF(AND('고객경제성'!$E$52="입력 유효",COUNT($C$12,F$6)=2,C61&gt;=0,C61&lt;=1,D61&gt;=0,D61&lt;=1),MIN('고객경제성'!$E$50,E61),"입력 확인")</x:f>
        <x:v>150000</x:v>
      </x:c>
      <x:c r="G61" s="39" t="n">
        <x:f>IF(AND('고객경제성'!$E$52="입력 유효",COUNT($C$12,F$6)=2,C61&gt;=0,C61&lt;=1,D61&gt;=0,D61&lt;=1),F61/'고객경제성'!$E$33*'고객경제성'!$E$32/3600,"입력 확인")</x:f>
        <x:v>2976.190476190476</x:v>
      </x:c>
      <x:c r="H61" s="39" t="n">
        <x:f>IF(AND('고객경제성'!$E$52="입력 유효",COUNT($C$12,F$6)=2,C61&gt;=0,C61&lt;=1,D61&gt;=0,D61&lt;=1),'고객경제성'!$E$65+'고객경제성'!$E$62+G61*'고객경제성'!$E$34*'고객경제성'!$E$35/60*'고객경제성'!$E$36+G61*'고객경제성'!$E$43*'고객경제성'!$E$44+(F61/'고객경제성'!$E$33-F61)*'고객경제성'!$E$45,"입력 확인")</x:f>
        <x:v>19795.549886621313</x:v>
      </x:c>
      <x:c r="I61" s="39" t="n">
        <x:f>IF(AND('고객경제성'!$E$52="입력 유효",COUNT($C$12,F$6)=2,C61&gt;=0,C61&lt;=1,D61&gt;=0,D61&lt;=1),F61/(3600/'고객경제성'!$E$46*'고객경제성'!$E$47)*'고객경제성'!$E$48,"입력 확인")</x:f>
        <x:v>82181.74204355109</x:v>
      </x:c>
      <x:c r="J61" s="39" t="n">
        <x:f>IF(AND('고객경제성'!$E$52="입력 유효",COUNT($C$12,F$6)=2,C61&gt;=0,C61&lt;=1,D61&gt;=0,D61&lt;=1),I61*D61-H61,"입력 확인")</x:f>
        <x:v>13077.146930799125</x:v>
      </x:c>
      <x:c r="K61" s="41" t="n">
        <x:f>IF(AND('고객경제성'!$E$52="입력 유효",COUNT($C$12,F$6)=2,C61&gt;=0,C61&lt;=1,D61&gt;=0,D61&lt;=1),IF(J61&lt;=0,"회수불가",'고객경제성'!$E$55/J61),"입력 확인")</x:f>
        <x:v>6.499888733360418</x:v>
      </x:c>
      <x:c r="L61" s="39" t="n">
        <x:f>IF(AND('고객경제성'!$E$52="입력 유효",COUNT($C$12,F$6)=2,C61&gt;=0,C61&lt;=1,D61&gt;=0,D61&lt;=1),-'고객경제성'!$E$55+IF('고객경제성'!$E$29=0,J61*'고객경제성'!$E$27,J61*(1-(1+'고객경제성'!$E$29)^(-'고객경제성'!$E$27))/'고객경제성'!$E$29)+'고객경제성'!$E$28/(1+'고객경제성'!$E$29)^'고객경제성'!$E$27,"입력 확인")</x:f>
        <x:v>-35427.32443311635</x:v>
      </x:c>
      <x:c r="M61" s="39" t="n">
        <x:f>IF(AND('고객경제성'!$E$52="입력 유효",COUNT($C$12,F$6)=2,C61&gt;=0,C61&lt;=1,D61&gt;=0,D61&lt;=1),MAX(0,'고객경제성'!$E$50-F61),"입력 확인")</x:f>
        <x:v>0</x:v>
      </x:c>
    </x:row>
    <x:row r="62" ht="24" customHeight="1">
      <x:c r="A62" s="2"/>
      <x:c r="B62" s="2"/>
      <x:c r="C62" s="23" t="n">
        <x:f>$C$12</x:f>
        <x:v>0.95</x:v>
      </x:c>
      <x:c r="D62" s="23" t="n">
        <x:f>G$6</x:f>
        <x:v>0.55</x:v>
      </x:c>
      <x:c r="E62" s="39" t="n">
        <x:f>IF(AND('고객경제성'!$E$52="입력 유효",COUNT($C$12,G$6)=2,C62&gt;=0,C62&lt;=1,D62&gt;=0,D62&lt;=1),'고객경제성'!$E$30*C62*3600/'고객경제성'!$E$32*'고객경제성'!$E$33,"입력 확인")</x:f>
        <x:v>191520</x:v>
      </x:c>
      <x:c r="F62" s="39" t="n">
        <x:f>IF(AND('고객경제성'!$E$52="입력 유효",COUNT($C$12,G$6)=2,C62&gt;=0,C62&lt;=1,D62&gt;=0,D62&lt;=1),MIN('고객경제성'!$E$50,E62),"입력 확인")</x:f>
        <x:v>150000</x:v>
      </x:c>
      <x:c r="G62" s="39" t="n">
        <x:f>IF(AND('고객경제성'!$E$52="입력 유효",COUNT($C$12,G$6)=2,C62&gt;=0,C62&lt;=1,D62&gt;=0,D62&lt;=1),F62/'고객경제성'!$E$33*'고객경제성'!$E$32/3600,"입력 확인")</x:f>
        <x:v>2976.190476190476</x:v>
      </x:c>
      <x:c r="H62" s="39" t="n">
        <x:f>IF(AND('고객경제성'!$E$52="입력 유효",COUNT($C$12,G$6)=2,C62&gt;=0,C62&lt;=1,D62&gt;=0,D62&lt;=1),'고객경제성'!$E$65+'고객경제성'!$E$62+G62*'고객경제성'!$E$34*'고객경제성'!$E$35/60*'고객경제성'!$E$36+G62*'고객경제성'!$E$43*'고객경제성'!$E$44+(F62/'고객경제성'!$E$33-F62)*'고객경제성'!$E$45,"입력 확인")</x:f>
        <x:v>19795.549886621313</x:v>
      </x:c>
      <x:c r="I62" s="39" t="n">
        <x:f>IF(AND('고객경제성'!$E$52="입력 유효",COUNT($C$12,G$6)=2,C62&gt;=0,C62&lt;=1,D62&gt;=0,D62&lt;=1),F62/(3600/'고객경제성'!$E$46*'고객경제성'!$E$47)*'고객경제성'!$E$48,"입력 확인")</x:f>
        <x:v>82181.74204355109</x:v>
      </x:c>
      <x:c r="J62" s="39" t="n">
        <x:f>IF(AND('고객경제성'!$E$52="입력 유효",COUNT($C$12,G$6)=2,C62&gt;=0,C62&lt;=1,D62&gt;=0,D62&lt;=1),I62*D62-H62,"입력 확인")</x:f>
        <x:v>25404.40823733179</x:v>
      </x:c>
      <x:c r="K62" s="41" t="n">
        <x:f>IF(AND('고객경제성'!$E$52="입력 유효",COUNT($C$12,G$6)=2,C62&gt;=0,C62&lt;=1,D62&gt;=0,D62&lt;=1),IF(J62&lt;=0,"회수불가",'고객경제성'!$E$55/J62),"입력 확인")</x:f>
        <x:v>3.3458760072628837</x:v>
      </x:c>
      <x:c r="L62" s="39" t="n">
        <x:f>IF(AND('고객경제성'!$E$52="입력 유효",COUNT($C$12,G$6)=2,C62&gt;=0,C62&lt;=1,D62&gt;=0,D62&lt;=1),-'고객경제성'!$E$55+IF('고객경제성'!$E$29=0,J62*'고객경제성'!$E$27,J62*(1-(1+'고객경제성'!$E$29)^(-'고객경제성'!$E$27))/'고객경제성'!$E$29)+'고객경제성'!$E$28/(1+'고객경제성'!$E$29)^'고객경제성'!$E$27,"입력 확인")</x:f>
        <x:v>11302.694630728409</x:v>
      </x:c>
      <x:c r="M62" s="39" t="n">
        <x:f>IF(AND('고객경제성'!$E$52="입력 유효",COUNT($C$12,G$6)=2,C62&gt;=0,C62&lt;=1,D62&gt;=0,D62&lt;=1),MAX(0,'고객경제성'!$E$50-F62),"입력 확인")</x:f>
        <x:v>0</x:v>
      </x:c>
    </x:row>
    <x:row r="63" ht="24" customHeight="1">
      <x:c r="A63" s="2"/>
      <x:c r="B63" s="2"/>
      <x:c r="C63" s="23" t="n">
        <x:f>$C$12</x:f>
        <x:v>0.95</x:v>
      </x:c>
      <x:c r="D63" s="23" t="n">
        <x:f>H$6</x:f>
        <x:v>0.65</x:v>
      </x:c>
      <x:c r="E63" s="39" t="n">
        <x:f>IF(AND('고객경제성'!$E$52="입력 유효",COUNT($C$12,H$6)=2,C63&gt;=0,C63&lt;=1,D63&gt;=0,D63&lt;=1),'고객경제성'!$E$30*C63*3600/'고객경제성'!$E$32*'고객경제성'!$E$33,"입력 확인")</x:f>
        <x:v>191520</x:v>
      </x:c>
      <x:c r="F63" s="39" t="n">
        <x:f>IF(AND('고객경제성'!$E$52="입력 유효",COUNT($C$12,H$6)=2,C63&gt;=0,C63&lt;=1,D63&gt;=0,D63&lt;=1),MIN('고객경제성'!$E$50,E63),"입력 확인")</x:f>
        <x:v>150000</x:v>
      </x:c>
      <x:c r="G63" s="39" t="n">
        <x:f>IF(AND('고객경제성'!$E$52="입력 유효",COUNT($C$12,H$6)=2,C63&gt;=0,C63&lt;=1,D63&gt;=0,D63&lt;=1),F63/'고객경제성'!$E$33*'고객경제성'!$E$32/3600,"입력 확인")</x:f>
        <x:v>2976.190476190476</x:v>
      </x:c>
      <x:c r="H63" s="39" t="n">
        <x:f>IF(AND('고객경제성'!$E$52="입력 유효",COUNT($C$12,H$6)=2,C63&gt;=0,C63&lt;=1,D63&gt;=0,D63&lt;=1),'고객경제성'!$E$65+'고객경제성'!$E$62+G63*'고객경제성'!$E$34*'고객경제성'!$E$35/60*'고객경제성'!$E$36+G63*'고객경제성'!$E$43*'고객경제성'!$E$44+(F63/'고객경제성'!$E$33-F63)*'고객경제성'!$E$45,"입력 확인")</x:f>
        <x:v>19795.549886621313</x:v>
      </x:c>
      <x:c r="I63" s="39" t="n">
        <x:f>IF(AND('고객경제성'!$E$52="입력 유효",COUNT($C$12,H$6)=2,C63&gt;=0,C63&lt;=1,D63&gt;=0,D63&lt;=1),F63/(3600/'고객경제성'!$E$46*'고객경제성'!$E$47)*'고객경제성'!$E$48,"입력 확인")</x:f>
        <x:v>82181.74204355109</x:v>
      </x:c>
      <x:c r="J63" s="39" t="n">
        <x:f>IF(AND('고객경제성'!$E$52="입력 유효",COUNT($C$12,H$6)=2,C63&gt;=0,C63&lt;=1,D63&gt;=0,D63&lt;=1),I63*D63-H63,"입력 확인")</x:f>
        <x:v>33622.5824416869</x:v>
      </x:c>
      <x:c r="K63" s="41" t="n">
        <x:f>IF(AND('고객경제성'!$E$52="입력 유효",COUNT($C$12,H$6)=2,C63&gt;=0,C63&lt;=1,D63&gt;=0,D63&lt;=1),IF(J63&lt;=0,"회수불가",'고객경제성'!$E$55/J63),"입력 확인")</x:f>
        <x:v>2.5280628026541145</x:v>
      </x:c>
      <x:c r="L63" s="39" t="n">
        <x:f>IF(AND('고객경제성'!$E$52="입력 유효",COUNT($C$12,H$6)=2,C63&gt;=0,C63&lt;=1,D63&gt;=0,D63&lt;=1),-'고객경제성'!$E$55+IF('고객경제성'!$E$29=0,J63*'고객경제성'!$E$27,J63*(1-(1+'고객경제성'!$E$29)^(-'고객경제성'!$E$27))/'고객경제성'!$E$29)+'고객경제성'!$E$28/(1+'고객경제성'!$E$29)^'고객경제성'!$E$27,"입력 확인")</x:f>
        <x:v>42456.04067329159</x:v>
      </x:c>
      <x:c r="M63" s="39" t="n">
        <x:f>IF(AND('고객경제성'!$E$52="입력 유효",COUNT($C$12,H$6)=2,C63&gt;=0,C63&lt;=1,D63&gt;=0,D63&lt;=1),MAX(0,'고객경제성'!$E$50-F63),"입력 확인")</x:f>
        <x:v>0</x:v>
      </x:c>
    </x:row>
    <x:row r="64" ht="24" customHeight="1">
      <x:c r="A64" s="2"/>
      <x:c r="B64" s="2"/>
      <x:c r="C64" s="23" t="n">
        <x:f>$C$12</x:f>
        <x:v>0.95</x:v>
      </x:c>
      <x:c r="D64" s="23" t="n">
        <x:f>I$6</x:f>
        <x:v>0.8</x:v>
      </x:c>
      <x:c r="E64" s="39" t="n">
        <x:f>IF(AND('고객경제성'!$E$52="입력 유효",COUNT($C$12,I$6)=2,C64&gt;=0,C64&lt;=1,D64&gt;=0,D64&lt;=1),'고객경제성'!$E$30*C64*3600/'고객경제성'!$E$32*'고객경제성'!$E$33,"입력 확인")</x:f>
        <x:v>191520</x:v>
      </x:c>
      <x:c r="F64" s="39" t="n">
        <x:f>IF(AND('고객경제성'!$E$52="입력 유효",COUNT($C$12,I$6)=2,C64&gt;=0,C64&lt;=1,D64&gt;=0,D64&lt;=1),MIN('고객경제성'!$E$50,E64),"입력 확인")</x:f>
        <x:v>150000</x:v>
      </x:c>
      <x:c r="G64" s="39" t="n">
        <x:f>IF(AND('고객경제성'!$E$52="입력 유효",COUNT($C$12,I$6)=2,C64&gt;=0,C64&lt;=1,D64&gt;=0,D64&lt;=1),F64/'고객경제성'!$E$33*'고객경제성'!$E$32/3600,"입력 확인")</x:f>
        <x:v>2976.190476190476</x:v>
      </x:c>
      <x:c r="H64" s="39" t="n">
        <x:f>IF(AND('고객경제성'!$E$52="입력 유효",COUNT($C$12,I$6)=2,C64&gt;=0,C64&lt;=1,D64&gt;=0,D64&lt;=1),'고객경제성'!$E$65+'고객경제성'!$E$62+G64*'고객경제성'!$E$34*'고객경제성'!$E$35/60*'고객경제성'!$E$36+G64*'고객경제성'!$E$43*'고객경제성'!$E$44+(F64/'고객경제성'!$E$33-F64)*'고객경제성'!$E$45,"입력 확인")</x:f>
        <x:v>19795.549886621313</x:v>
      </x:c>
      <x:c r="I64" s="39" t="n">
        <x:f>IF(AND('고객경제성'!$E$52="입력 유효",COUNT($C$12,I$6)=2,C64&gt;=0,C64&lt;=1,D64&gt;=0,D64&lt;=1),F64/(3600/'고객경제성'!$E$46*'고객경제성'!$E$47)*'고객경제성'!$E$48,"입력 확인")</x:f>
        <x:v>82181.74204355109</x:v>
      </x:c>
      <x:c r="J64" s="39" t="n">
        <x:f>IF(AND('고객경제성'!$E$52="입력 유효",COUNT($C$12,I$6)=2,C64&gt;=0,C64&lt;=1,D64&gt;=0,D64&lt;=1),I64*D64-H64,"입력 확인")</x:f>
        <x:v>45949.84374821956</x:v>
      </x:c>
      <x:c r="K64" s="41" t="n">
        <x:f>IF(AND('고객경제성'!$E$52="입력 유효",COUNT($C$12,I$6)=2,C64&gt;=0,C64&lt;=1,D64&gt;=0,D64&lt;=1),IF(J64&lt;=0,"회수불가",'고객경제성'!$E$55/J64),"입력 확인")</x:f>
        <x:v>1.8498430694509933</x:v>
      </x:c>
      <x:c r="L64" s="39" t="n">
        <x:f>IF(AND('고객경제성'!$E$52="입력 유효",COUNT($C$12,I$6)=2,C64&gt;=0,C64&lt;=1,D64&gt;=0,D64&lt;=1),-'고객경제성'!$E$55+IF('고객경제성'!$E$29=0,J64*'고객경제성'!$E$27,J64*(1-(1+'고객경제성'!$E$29)^(-'고객경제성'!$E$27))/'고객경제성'!$E$29)+'고객경제성'!$E$28/(1+'고객경제성'!$E$29)^'고객경제성'!$E$27,"입력 확인")</x:f>
        <x:v>89186.0597371363</x:v>
      </x:c>
      <x:c r="M64" s="39" t="n">
        <x:f>IF(AND('고객경제성'!$E$52="입력 유효",COUNT($C$12,I$6)=2,C64&gt;=0,C64&lt;=1,D64&gt;=0,D64&lt;=1),MAX(0,'고객경제성'!$E$50-F64),"입력 확인")</x:f>
        <x:v>0</x:v>
      </x:c>
    </x:row>
    <x:row r="65" ht="24" customHeight="1">
      <x:c r="A65" s="2"/>
      <x:c r="B65" s="2"/>
      <x:c r="C65" s="23" t="n">
        <x:f>$C$12</x:f>
        <x:v>0.95</x:v>
      </x:c>
      <x:c r="D65" s="23" t="n">
        <x:f>J$6</x:f>
        <x:v>1</x:v>
      </x:c>
      <x:c r="E65" s="39" t="n">
        <x:f>IF(AND('고객경제성'!$E$52="입력 유효",COUNT($C$12,J$6)=2,C65&gt;=0,C65&lt;=1,D65&gt;=0,D65&lt;=1),'고객경제성'!$E$30*C65*3600/'고객경제성'!$E$32*'고객경제성'!$E$33,"입력 확인")</x:f>
        <x:v>191520</x:v>
      </x:c>
      <x:c r="F65" s="39" t="n">
        <x:f>IF(AND('고객경제성'!$E$52="입력 유효",COUNT($C$12,J$6)=2,C65&gt;=0,C65&lt;=1,D65&gt;=0,D65&lt;=1),MIN('고객경제성'!$E$50,E65),"입력 확인")</x:f>
        <x:v>150000</x:v>
      </x:c>
      <x:c r="G65" s="39" t="n">
        <x:f>IF(AND('고객경제성'!$E$52="입력 유효",COUNT($C$12,J$6)=2,C65&gt;=0,C65&lt;=1,D65&gt;=0,D65&lt;=1),F65/'고객경제성'!$E$33*'고객경제성'!$E$32/3600,"입력 확인")</x:f>
        <x:v>2976.190476190476</x:v>
      </x:c>
      <x:c r="H65" s="39" t="n">
        <x:f>IF(AND('고객경제성'!$E$52="입력 유효",COUNT($C$12,J$6)=2,C65&gt;=0,C65&lt;=1,D65&gt;=0,D65&lt;=1),'고객경제성'!$E$65+'고객경제성'!$E$62+G65*'고객경제성'!$E$34*'고객경제성'!$E$35/60*'고객경제성'!$E$36+G65*'고객경제성'!$E$43*'고객경제성'!$E$44+(F65/'고객경제성'!$E$33-F65)*'고객경제성'!$E$45,"입력 확인")</x:f>
        <x:v>19795.549886621313</x:v>
      </x:c>
      <x:c r="I65" s="39" t="n">
        <x:f>IF(AND('고객경제성'!$E$52="입력 유효",COUNT($C$12,J$6)=2,C65&gt;=0,C65&lt;=1,D65&gt;=0,D65&lt;=1),F65/(3600/'고객경제성'!$E$46*'고객경제성'!$E$47)*'고객경제성'!$E$48,"입력 확인")</x:f>
        <x:v>82181.74204355109</x:v>
      </x:c>
      <x:c r="J65" s="39" t="n">
        <x:f>IF(AND('고객경제성'!$E$52="입력 유효",COUNT($C$12,J$6)=2,C65&gt;=0,C65&lt;=1,D65&gt;=0,D65&lt;=1),I65*D65-H65,"입력 확인")</x:f>
        <x:v>62386.19215692977</x:v>
      </x:c>
      <x:c r="K65" s="41" t="n">
        <x:f>IF(AND('고객경제성'!$E$52="입력 유효",COUNT($C$12,J$6)=2,C65&gt;=0,C65&lt;=1,D65&gt;=0,D65&lt;=1),IF(J65&lt;=0,"회수불가",'고객경제성'!$E$55/J65),"입력 확인")</x:f>
        <x:v>1.3624809763382604</x:v>
      </x:c>
      <x:c r="L65" s="39" t="n">
        <x:f>IF(AND('고객경제성'!$E$52="입력 유효",COUNT($C$12,J$6)=2,C65&gt;=0,C65&lt;=1,D65&gt;=0,D65&lt;=1),-'고객경제성'!$E$55+IF('고객경제성'!$E$29=0,J65*'고객경제성'!$E$27,J65*(1-(1+'고객경제성'!$E$29)^(-'고객경제성'!$E$27))/'고객경제성'!$E$29)+'고객경제성'!$E$28/(1+'고객경제성'!$E$29)^'고객경제성'!$E$27,"입력 확인")</x:f>
        <x:v>151492.7518222626</x:v>
      </x:c>
      <x:c r="M65" s="39" t="n">
        <x:f>IF(AND('고객경제성'!$E$52="입력 유효",COUNT($C$12,J$6)=2,C65&gt;=0,C65&lt;=1,D65&gt;=0,D65&lt;=1),MAX(0,'고객경제성'!$E$50-F65),"입력 확인")</x:f>
        <x:v>0</x:v>
      </x:c>
    </x:row>
    <x:row r="66" ht="24" customHeight="1">
      <x:c r="A66" s="2"/>
      <x:c r="B66" s="2"/>
      <x:c r="C66" s="2"/>
      <x:c r="D66" s="2"/>
      <x:c r="E66" s="2"/>
      <x:c r="F66" s="2"/>
      <x:c r="G66" s="2"/>
      <x:c r="H66" s="2"/>
      <x:c r="I66" s="2"/>
      <x:c r="J66" s="2"/>
      <x:c r="K66" s="2"/>
      <x:c r="L66" s="2"/>
      <x:c r="M66" s="2"/>
    </x:row>
    <x:row r="67" ht="24" customHeight="1">
      <x:c r="A67" s="2"/>
      <x:c r="B67" s="2"/>
      <x:c r="C67" s="2"/>
      <x:c r="D67" s="2"/>
      <x:c r="E67" s="2"/>
      <x:c r="F67" s="2"/>
      <x:c r="G67" s="2"/>
      <x:c r="H67" s="2"/>
      <x:c r="I67" s="2"/>
      <x:c r="J67" s="2"/>
      <x:c r="K67" s="2"/>
      <x:c r="L67" s="2"/>
      <x:c r="M67" s="2"/>
    </x:row>
    <x:row r="68" ht="24" customHeight="1">
      <x:c r="A68" s="2"/>
      <x:c r="B68" s="2"/>
      <x:c r="C68" s="2"/>
      <x:c r="D68" s="2"/>
      <x:c r="E68" s="2"/>
      <x:c r="F68" s="2"/>
      <x:c r="G68" s="2"/>
      <x:c r="H68" s="2"/>
      <x:c r="I68" s="2"/>
      <x:c r="J68" s="2"/>
      <x:c r="K68" s="2"/>
      <x:c r="L68" s="2"/>
      <x:c r="M68" s="2"/>
    </x:row>
    <x:row r="69" ht="24" customHeight="1">
      <x:c r="A69" s="2"/>
      <x:c r="B69" s="2"/>
      <x:c r="C69" s="2"/>
      <x:c r="D69" s="2"/>
      <x:c r="E69" s="2"/>
      <x:c r="F69" s="2"/>
      <x:c r="G69" s="2"/>
      <x:c r="H69" s="2"/>
      <x:c r="I69" s="2"/>
      <x:c r="J69" s="2"/>
      <x:c r="K69" s="2"/>
      <x:c r="L69" s="2"/>
      <x:c r="M69" s="2"/>
    </x:row>
    <x:row r="70" ht="24" customHeight="1">
      <x:c r="A70" s="2"/>
      <x:c r="B70" s="2"/>
      <x:c r="C70" s="2"/>
      <x:c r="D70" s="2"/>
      <x:c r="E70" s="2"/>
      <x:c r="F70" s="2"/>
      <x:c r="G70" s="2"/>
      <x:c r="H70" s="2"/>
      <x:c r="I70" s="2"/>
      <x:c r="J70" s="2"/>
      <x:c r="K70" s="2"/>
      <x:c r="L70" s="2"/>
      <x:c r="M70" s="2"/>
    </x:row>
  </x:sheetData>
  <x:conditionalFormatting sqref="E7:J12">
    <x:cfRule type="colorScale" priority="1">
      <x:colorScale>
        <x:cfvo type="min"/>
        <x:cfvo type="num" val="0"/>
        <x:cfvo type="max"/>
        <x:color rgb="FFF8D9D6"/>
        <x:color rgb="FFFFFFFF"/>
        <x:color rgb="FFC4DCE8"/>
      </x:colorScale>
    </x:cfRule>
  </x:conditionalFormatting>
  <x:dataValidations count="12">
    <x:dataValidation type="decimal" operator="between" sqref="E6">
      <x:formula1>0</x:formula1>
      <x:formula2>1</x:formula2>
    </x:dataValidation>
    <x:dataValidation type="decimal" operator="between" sqref="F6">
      <x:formula1>0</x:formula1>
      <x:formula2>1</x:formula2>
    </x:dataValidation>
    <x:dataValidation type="decimal" operator="between" sqref="G6">
      <x:formula1>0</x:formula1>
      <x:formula2>1</x:formula2>
    </x:dataValidation>
    <x:dataValidation type="decimal" operator="between" sqref="H6">
      <x:formula1>0</x:formula1>
      <x:formula2>1</x:formula2>
    </x:dataValidation>
    <x:dataValidation type="decimal" operator="between" sqref="I6">
      <x:formula1>0</x:formula1>
      <x:formula2>1</x:formula2>
    </x:dataValidation>
    <x:dataValidation type="decimal" operator="between" sqref="J6">
      <x:formula1>0</x:formula1>
      <x:formula2>1</x:formula2>
    </x:dataValidation>
    <x:dataValidation type="decimal" operator="between" sqref="C7">
      <x:formula1>0</x:formula1>
      <x:formula2>1</x:formula2>
    </x:dataValidation>
    <x:dataValidation type="decimal" operator="between" sqref="C8">
      <x:formula1>0</x:formula1>
      <x:formula2>1</x:formula2>
    </x:dataValidation>
    <x:dataValidation type="decimal" operator="between" sqref="C9">
      <x:formula1>0</x:formula1>
      <x:formula2>1</x:formula2>
    </x:dataValidation>
    <x:dataValidation type="decimal" operator="between" sqref="C10">
      <x:formula1>0</x:formula1>
      <x:formula2>1</x:formula2>
    </x:dataValidation>
    <x:dataValidation type="decimal" operator="between" sqref="C11">
      <x:formula1>0</x:formula1>
      <x:formula2>1</x:formula2>
    </x:dataValidation>
    <x:dataValidation type="decimal" operator="between" sqref="C12">
      <x:formula1>0</x:formula1>
      <x:formula2>1</x:formula2>
    </x:dataValidation>
  </x:dataValidations>
  <x:pageMargins left="0.7" right="0.7" top="0.75" bottom="0.75" header="0.3" footer="0.3"/>
</x:worksheet>
</file>

<file path=xl/worksheets/sheet4.xml><?xml version="1.0" encoding="utf-8"?>
<x:worksheet xmlns:x="http://schemas.openxmlformats.org/spreadsheetml/2006/main">
  <x:sheetPr>
    <x:tabColor rgb="FF31587A"/>
  </x:sheetPr>
  <x:sheetViews>
    <x:sheetView showGridLines="0" workbookViewId="0">
      <x:pane xSplit="4" ySplit="8" topLeftCell="E9" activePane="bottomRight" state="frozen"/>
    </x:sheetView>
  </x:sheetViews>
  <x:sheetFormatPr defaultRowHeight="15"/>
  <x:cols>
    <x:col min="1" max="1" width="2" hidden="0" customWidth="1"/>
    <x:col min="2" max="2" width="2" hidden="0" customWidth="1"/>
    <x:col min="3" max="3" width="30" hidden="0" customWidth="1"/>
    <x:col min="4" max="4" width="12"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s>
  <x:sheetData>
    <x:row r="1" ht="24" customHeight="1">
      <x:c r="A1" s="2"/>
      <x:c r="B1" s="2"/>
      <x:c r="C1" s="2"/>
      <x:c r="D1" s="2"/>
      <x:c r="E1" s="2"/>
      <x:c r="F1" s="2"/>
      <x:c r="G1" s="2"/>
      <x:c r="H1" s="2"/>
      <x:c r="I1" s="2"/>
      <x:c r="J1" s="2"/>
      <x:c r="K1" s="2"/>
      <x:c r="L1" s="2"/>
      <x:c r="M1" s="2"/>
      <x:c r="N1" s="2"/>
      <x:c r="O1" s="2"/>
    </x:row>
    <x:row r="2" ht="24" customHeight="1">
      <x:c r="A2" s="2"/>
      <x:c r="B2" s="2"/>
      <x:c r="C2" s="3" t="str">
        <x:v>출하·설치·가동과 시장 매출</x:v>
      </x:c>
      <x:c r="D2" s="3"/>
      <x:c r="E2" s="3"/>
      <x:c r="F2" s="3"/>
      <x:c r="G2" s="3"/>
      <x:c r="H2" s="3"/>
      <x:c r="I2" s="3"/>
      <x:c r="J2" s="3"/>
      <x:c r="K2" s="3"/>
      <x:c r="L2" s="3"/>
      <x:c r="M2" s="3"/>
      <x:c r="N2" s="3"/>
      <x:c r="O2" s="3"/>
    </x:row>
    <x:row r="3" ht="24" customHeight="1">
      <x:c r="A3" s="2"/>
      <x:c r="B3" s="2"/>
      <x:c r="C3" s="2"/>
      <x:c r="D3" s="2"/>
      <x:c r="E3" s="2"/>
      <x:c r="F3" s="2"/>
      <x:c r="G3" s="2"/>
      <x:c r="H3" s="2"/>
      <x:c r="I3" s="2"/>
      <x:c r="J3" s="2"/>
      <x:c r="K3" s="2"/>
      <x:c r="L3" s="2"/>
      <x:c r="M3" s="2"/>
      <x:c r="N3" s="2"/>
      <x:c r="O3" s="2"/>
    </x:row>
    <x:row r="4" ht="24" customHeight="1">
      <x:c r="A4" s="2"/>
      <x:c r="B4" s="2"/>
      <x:c r="C4" s="4" t="str">
        <x:v>모든 세계 출하·가격·보급 경로는 조건부 가정. 기관 전망 또는 확인된 주문 잔고가 아닙니다.</x:v>
      </x:c>
      <x:c r="D4" s="2"/>
      <x:c r="E4" s="2"/>
      <x:c r="F4" s="2"/>
      <x:c r="G4" s="2"/>
      <x:c r="H4" s="2"/>
      <x:c r="I4" s="2"/>
      <x:c r="J4" s="2"/>
      <x:c r="K4" s="2"/>
      <x:c r="L4" s="2"/>
      <x:c r="M4" s="2"/>
      <x:c r="N4" s="2"/>
      <x:c r="O4" s="2"/>
    </x:row>
    <x:row r="5" ht="24" customHeight="1">
      <x:c r="A5" s="2"/>
      <x:c r="B5" s="2"/>
      <x:c r="C5" s="2" t="str">
        <x:v>시나리오 1 비관 / 2 기준 / 3 낙관</x:v>
      </x:c>
      <x:c r="D5" s="2"/>
      <x:c r="E5" s="29" t="n">
        <x:v>2</x:v>
      </x:c>
      <x:c r="F5" s="2"/>
      <x:c r="G5" s="9" t="str">
        <x:f>IF(AND(ISNUMBER(E5),E5&gt;=1,E5&lt;=3,MOD(E5,1)=0),CHOOSE(E5,"비관","기준","낙관"),"시나리오 확인")</x:f>
        <x:v>기준</x:v>
      </x:c>
      <x:c r="H5" s="2"/>
      <x:c r="I5" s="2"/>
      <x:c r="J5" s="2"/>
      <x:c r="K5" s="2"/>
      <x:c r="L5" s="2"/>
      <x:c r="M5" s="2"/>
      <x:c r="N5" s="2"/>
      <x:c r="O5" s="2"/>
    </x:row>
    <x:row r="6" ht="24" customHeight="1">
      <x:c r="A6" s="2"/>
      <x:c r="B6" s="2"/>
      <x:c r="C6" s="2"/>
      <x:c r="D6" s="2"/>
      <x:c r="E6" s="2"/>
      <x:c r="F6" s="2"/>
      <x:c r="G6" s="2"/>
      <x:c r="H6" s="2"/>
      <x:c r="I6" s="2"/>
      <x:c r="J6" s="2"/>
      <x:c r="K6" s="2"/>
      <x:c r="L6" s="2"/>
      <x:c r="M6" s="2"/>
      <x:c r="N6" s="2"/>
      <x:c r="O6" s="2"/>
    </x:row>
    <x:row r="7" ht="24" customHeight="1">
      <x:c r="A7" s="2"/>
      <x:c r="B7" s="2"/>
      <x:c r="C7" s="2"/>
      <x:c r="D7" s="2"/>
      <x:c r="E7" s="2"/>
      <x:c r="F7" s="2"/>
      <x:c r="G7" s="2"/>
      <x:c r="H7" s="2"/>
      <x:c r="I7" s="2"/>
      <x:c r="J7" s="2"/>
      <x:c r="K7" s="2"/>
      <x:c r="L7" s="2"/>
      <x:c r="M7" s="2"/>
      <x:c r="N7" s="2"/>
      <x:c r="O7" s="2"/>
    </x:row>
    <x:row r="8" ht="34" customHeight="1">
      <x:c r="A8" s="2"/>
      <x:c r="B8" s="2"/>
      <x:c r="C8" s="8" t="str">
        <x:v>주요 결과</x:v>
      </x:c>
      <x:c r="D8" s="8" t="str">
        <x:v>단위</x:v>
      </x:c>
      <x:c r="E8" s="8" t="n">
        <x:v>2026</x:v>
      </x:c>
      <x:c r="F8" s="8" t="n">
        <x:v>2027</x:v>
      </x:c>
      <x:c r="G8" s="8" t="n">
        <x:v>2028</x:v>
      </x:c>
      <x:c r="H8" s="8" t="n">
        <x:v>2029</x:v>
      </x:c>
      <x:c r="I8" s="8" t="n">
        <x:v>2030</x:v>
      </x:c>
      <x:c r="J8" s="8" t="n">
        <x:v>2031</x:v>
      </x:c>
      <x:c r="K8" s="8" t="n">
        <x:v>2032</x:v>
      </x:c>
      <x:c r="L8" s="8" t="n">
        <x:v>2033</x:v>
      </x:c>
      <x:c r="M8" s="8" t="n">
        <x:v>2034</x:v>
      </x:c>
      <x:c r="N8" s="8" t="n">
        <x:v>2035</x:v>
      </x:c>
      <x:c r="O8" s="2"/>
    </x:row>
    <x:row r="9" ht="24" customHeight="1">
      <x:c r="A9" s="2"/>
      <x:c r="B9" s="2"/>
      <x:c r="C9" s="2" t="str">
        <x:v>연 출하</x:v>
      </x:c>
      <x:c r="D9" s="2" t="str">
        <x:v>대</x:v>
      </x:c>
      <x:c r="E9" s="15" t="n">
        <x:f>E54</x:f>
        <x:v>40000</x:v>
      </x:c>
      <x:c r="F9" s="15" t="n">
        <x:f>F54</x:f>
        <x:v>65000</x:v>
      </x:c>
      <x:c r="G9" s="15" t="n">
        <x:f>G54</x:f>
        <x:v>105000</x:v>
      </x:c>
      <x:c r="H9" s="15" t="n">
        <x:f>H54</x:f>
        <x:v>165000</x:v>
      </x:c>
      <x:c r="I9" s="15" t="n">
        <x:f>I54</x:f>
        <x:v>250000</x:v>
      </x:c>
      <x:c r="J9" s="15" t="n">
        <x:f>J54</x:f>
        <x:v>370000</x:v>
      </x:c>
      <x:c r="K9" s="15" t="n">
        <x:f>K54</x:f>
        <x:v>530000</x:v>
      </x:c>
      <x:c r="L9" s="15" t="n">
        <x:f>L54</x:f>
        <x:v>720000</x:v>
      </x:c>
      <x:c r="M9" s="15" t="n">
        <x:f>M54</x:f>
        <x:v>950000</x:v>
      </x:c>
      <x:c r="N9" s="15" t="n">
        <x:f>N54</x:f>
        <x:v>1200000</x:v>
      </x:c>
      <x:c r="O9" s="2"/>
    </x:row>
    <x:row r="10" ht="24" customHeight="1">
      <x:c r="A10" s="2"/>
      <x:c r="B10" s="2"/>
      <x:c r="C10" s="12" t="str">
        <x:v>신규 가동 개시</x:v>
      </x:c>
      <x:c r="D10" s="12" t="str">
        <x:v>대</x:v>
      </x:c>
      <x:c r="E10" s="16" t="n">
        <x:f>E55</x:f>
        <x:v>36000</x:v>
      </x:c>
      <x:c r="F10" s="16" t="n">
        <x:f>F55</x:f>
        <x:v>58500</x:v>
      </x:c>
      <x:c r="G10" s="16" t="n">
        <x:f>G55</x:f>
        <x:v>94500</x:v>
      </x:c>
      <x:c r="H10" s="16" t="n">
        <x:f>H55</x:f>
        <x:v>148500</x:v>
      </x:c>
      <x:c r="I10" s="16" t="n">
        <x:f>I55</x:f>
        <x:v>225000</x:v>
      </x:c>
      <x:c r="J10" s="16" t="n">
        <x:f>J55</x:f>
        <x:v>333000</x:v>
      </x:c>
      <x:c r="K10" s="16" t="n">
        <x:f>K55</x:f>
        <x:v>477000</x:v>
      </x:c>
      <x:c r="L10" s="16" t="n">
        <x:f>L55</x:f>
        <x:v>648000</x:v>
      </x:c>
      <x:c r="M10" s="16" t="n">
        <x:f>M55</x:f>
        <x:v>855000</x:v>
      </x:c>
      <x:c r="N10" s="16" t="n">
        <x:f>N55</x:f>
        <x:v>1080000</x:v>
      </x:c>
      <x:c r="O10" s="2"/>
    </x:row>
    <x:row r="11" ht="24" customHeight="1">
      <x:c r="A11" s="2"/>
      <x:c r="B11" s="2"/>
      <x:c r="C11" s="2" t="str">
        <x:v>기말 설치</x:v>
      </x:c>
      <x:c r="D11" s="2" t="str">
        <x:v>대</x:v>
      </x:c>
      <x:c r="E11" s="15" t="n">
        <x:f>E58</x:f>
        <x:v>36000</x:v>
      </x:c>
      <x:c r="F11" s="15" t="n">
        <x:f>F58</x:f>
        <x:v>94500</x:v>
      </x:c>
      <x:c r="G11" s="15" t="n">
        <x:f>G58</x:f>
        <x:v>189000</x:v>
      </x:c>
      <x:c r="H11" s="15" t="n">
        <x:f>H58</x:f>
        <x:v>337500</x:v>
      </x:c>
      <x:c r="I11" s="15" t="n">
        <x:f>I58</x:f>
        <x:v>562500</x:v>
      </x:c>
      <x:c r="J11" s="15" t="n">
        <x:f>J58</x:f>
        <x:v>895500</x:v>
      </x:c>
      <x:c r="K11" s="15" t="n">
        <x:f>K58</x:f>
        <x:v>1372500</x:v>
      </x:c>
      <x:c r="L11" s="15" t="n">
        <x:f>L58</x:f>
        <x:v>1984500</x:v>
      </x:c>
      <x:c r="M11" s="15" t="n">
        <x:f>M58</x:f>
        <x:v>2781000</x:v>
      </x:c>
      <x:c r="N11" s="15" t="n">
        <x:f>N58</x:f>
        <x:v>3766500</x:v>
      </x:c>
      <x:c r="O11" s="2"/>
    </x:row>
    <x:row r="12" ht="24" customHeight="1">
      <x:c r="A12" s="2"/>
      <x:c r="B12" s="2"/>
      <x:c r="C12" s="12" t="str">
        <x:v>기말 실제 가동</x:v>
      </x:c>
      <x:c r="D12" s="12" t="str">
        <x:v>대</x:v>
      </x:c>
      <x:c r="E12" s="16" t="n">
        <x:f>E60</x:f>
        <x:v>30600</x:v>
      </x:c>
      <x:c r="F12" s="16" t="n">
        <x:f>F60</x:f>
        <x:v>80325</x:v>
      </x:c>
      <x:c r="G12" s="16" t="n">
        <x:f>G60</x:f>
        <x:v>160650</x:v>
      </x:c>
      <x:c r="H12" s="16" t="n">
        <x:f>H60</x:f>
        <x:v>286875</x:v>
      </x:c>
      <x:c r="I12" s="16" t="n">
        <x:f>I60</x:f>
        <x:v>478125</x:v>
      </x:c>
      <x:c r="J12" s="16" t="n">
        <x:f>J60</x:f>
        <x:v>761175</x:v>
      </x:c>
      <x:c r="K12" s="16" t="n">
        <x:f>K60</x:f>
        <x:v>1166625</x:v>
      </x:c>
      <x:c r="L12" s="16" t="n">
        <x:f>L60</x:f>
        <x:v>1686825</x:v>
      </x:c>
      <x:c r="M12" s="16" t="n">
        <x:f>M60</x:f>
        <x:v>2363850</x:v>
      </x:c>
      <x:c r="N12" s="16" t="n">
        <x:f>N60</x:f>
        <x:v>3201525</x:v>
      </x:c>
      <x:c r="O12" s="2"/>
    </x:row>
    <x:row r="13" ht="24" customHeight="1">
      <x:c r="A13" s="2"/>
      <x:c r="B13" s="2"/>
      <x:c r="C13" s="2" t="str">
        <x:v>기체 ASP</x:v>
      </x:c>
      <x:c r="D13" s="2" t="str">
        <x:v>USD</x:v>
      </x:c>
      <x:c r="E13" s="18" t="n">
        <x:f>E61</x:f>
        <x:v>65000</x:v>
      </x:c>
      <x:c r="F13" s="18" t="n">
        <x:f>F61</x:f>
        <x:v>61100</x:v>
      </x:c>
      <x:c r="G13" s="18" t="n">
        <x:f>G61</x:f>
        <x:v>57433.99999999999</x:v>
      </x:c>
      <x:c r="H13" s="18" t="n">
        <x:f>H61</x:f>
        <x:v>53987.95999999999</x:v>
      </x:c>
      <x:c r="I13" s="18" t="n">
        <x:f>I61</x:f>
        <x:v>50748.68239999999</x:v>
      </x:c>
      <x:c r="J13" s="18" t="n">
        <x:f>J61</x:f>
        <x:v>47703.761455999986</x:v>
      </x:c>
      <x:c r="K13" s="18" t="n">
        <x:f>K61</x:f>
        <x:v>44841.53576863998</x:v>
      </x:c>
      <x:c r="L13" s="18" t="n">
        <x:f>L61</x:f>
        <x:v>42151.04362252158</x:v>
      </x:c>
      <x:c r="M13" s="18" t="n">
        <x:f>M61</x:f>
        <x:v>39621.98100517028</x:v>
      </x:c>
      <x:c r="N13" s="18" t="n">
        <x:f>N61</x:f>
        <x:v>37244.66214486007</x:v>
      </x:c>
      <x:c r="O13" s="2"/>
    </x:row>
    <x:row r="14" ht="24" customHeight="1">
      <x:c r="A14" s="2"/>
      <x:c r="B14" s="2"/>
      <x:c r="C14" s="12" t="str">
        <x:v>완성체 매출</x:v>
      </x:c>
      <x:c r="D14" s="12" t="str">
        <x:v>USD</x:v>
      </x:c>
      <x:c r="E14" s="19" t="n">
        <x:f>E62</x:f>
        <x:v>2600000000</x:v>
      </x:c>
      <x:c r="F14" s="19" t="n">
        <x:f>F62</x:f>
        <x:v>3971500000</x:v>
      </x:c>
      <x:c r="G14" s="19" t="n">
        <x:f>G62</x:f>
        <x:v>6030569999.999999</x:v>
      </x:c>
      <x:c r="H14" s="19" t="n">
        <x:f>H62</x:f>
        <x:v>8908013399.999998</x:v>
      </x:c>
      <x:c r="I14" s="19" t="n">
        <x:f>I62</x:f>
        <x:v>12687170599.999998</x:v>
      </x:c>
      <x:c r="J14" s="19" t="n">
        <x:f>J62</x:f>
        <x:v>17650391738.719994</x:v>
      </x:c>
      <x:c r="K14" s="19" t="n">
        <x:f>K62</x:f>
        <x:v>23766013957.37919</x:v>
      </x:c>
      <x:c r="L14" s="19" t="n">
        <x:f>L62</x:f>
        <x:v>30348751408.215538</x:v>
      </x:c>
      <x:c r="M14" s="19" t="n">
        <x:f>M62</x:f>
        <x:v>37640881954.911766</x:v>
      </x:c>
      <x:c r="N14" s="19" t="n">
        <x:f>N62</x:f>
        <x:v>44693594573.832085</x:v>
      </x:c>
      <x:c r="O14" s="2"/>
    </x:row>
    <x:row r="15" ht="24" customHeight="1">
      <x:c r="A15" s="2"/>
      <x:c r="B15" s="2"/>
      <x:c r="C15" s="2" t="str">
        <x:v>서비스 매출</x:v>
      </x:c>
      <x:c r="D15" s="2" t="str">
        <x:v>USD</x:v>
      </x:c>
      <x:c r="E15" s="18" t="n">
        <x:f>E63</x:f>
        <x:v>36720000</x:v>
      </x:c>
      <x:c r="F15" s="18" t="n">
        <x:f>F63</x:f>
        <x:v>133110000</x:v>
      </x:c>
      <x:c r="G15" s="18" t="n">
        <x:f>G63</x:f>
        <x:v>289170000</x:v>
      </x:c>
      <x:c r="H15" s="18" t="n">
        <x:f>H63</x:f>
        <x:v>537030000</x:v>
      </x:c>
      <x:c r="I15" s="18" t="n">
        <x:f>I63</x:f>
        <x:v>918000000</x:v>
      </x:c>
      <x:c r="J15" s="18" t="n">
        <x:f>J63</x:f>
        <x:v>1487160000</x:v>
      </x:c>
      <x:c r="K15" s="18" t="n">
        <x:f>K63</x:f>
        <x:v>2313360000</x:v>
      </x:c>
      <x:c r="L15" s="18" t="n">
        <x:f>L63</x:f>
        <x:v>3424140000</x:v>
      </x:c>
      <x:c r="M15" s="18" t="n">
        <x:f>M63</x:f>
        <x:v>4860810000</x:v>
      </x:c>
      <x:c r="N15" s="18" t="n">
        <x:f>N63</x:f>
        <x:v>6678450000</x:v>
      </x:c>
      <x:c r="O15" s="2"/>
    </x:row>
    <x:row r="16" ht="24" customHeight="1">
      <x:c r="A16" s="2"/>
      <x:c r="B16" s="2"/>
      <x:c r="C16" s="12" t="str">
        <x:v>중복 제외 합계</x:v>
      </x:c>
      <x:c r="D16" s="12" t="str">
        <x:v>USD</x:v>
      </x:c>
      <x:c r="E16" s="19" t="n">
        <x:f>E64</x:f>
        <x:v>2636720000</x:v>
      </x:c>
      <x:c r="F16" s="19" t="n">
        <x:f>F64</x:f>
        <x:v>4104610000</x:v>
      </x:c>
      <x:c r="G16" s="19" t="n">
        <x:f>G64</x:f>
        <x:v>6319739999.999999</x:v>
      </x:c>
      <x:c r="H16" s="19" t="n">
        <x:f>H64</x:f>
        <x:v>9445043399.999998</x:v>
      </x:c>
      <x:c r="I16" s="19" t="n">
        <x:f>I64</x:f>
        <x:v>13605170599.999998</x:v>
      </x:c>
      <x:c r="J16" s="19" t="n">
        <x:f>J64</x:f>
        <x:v>19137551738.719994</x:v>
      </x:c>
      <x:c r="K16" s="19" t="n">
        <x:f>K64</x:f>
        <x:v>26079373957.37919</x:v>
      </x:c>
      <x:c r="L16" s="19" t="n">
        <x:f>L64</x:f>
        <x:v>33772891408.215538</x:v>
      </x:c>
      <x:c r="M16" s="19" t="n">
        <x:f>M64</x:f>
        <x:v>42501691954.911766</x:v>
      </x:c>
      <x:c r="N16" s="19" t="n">
        <x:f>N64</x:f>
        <x:v>51372044573.832085</x:v>
      </x:c>
      <x:c r="O16" s="2"/>
    </x:row>
    <x:row r="17" ht="24" customHeight="1">
      <x:c r="A17" s="2"/>
      <x:c r="B17" s="2"/>
      <x:c r="C17" s="2"/>
      <x:c r="D17" s="2"/>
      <x:c r="E17" s="2"/>
      <x:c r="F17" s="2"/>
      <x:c r="G17" s="2"/>
      <x:c r="H17" s="2"/>
      <x:c r="I17" s="2"/>
      <x:c r="J17" s="2"/>
      <x:c r="K17" s="2"/>
      <x:c r="L17" s="2"/>
      <x:c r="M17" s="2"/>
      <x:c r="N17" s="2"/>
      <x:c r="O17" s="2"/>
    </x:row>
    <x:row r="18" ht="24" customHeight="1">
      <x:c r="A18" s="2"/>
      <x:c r="B18" s="2"/>
      <x:c r="C18" s="2"/>
      <x:c r="D18" s="2"/>
      <x:c r="E18" s="2"/>
      <x:c r="F18" s="2"/>
      <x:c r="G18" s="2"/>
      <x:c r="H18" s="2"/>
      <x:c r="I18" s="2"/>
      <x:c r="J18" s="2"/>
      <x:c r="K18" s="2"/>
      <x:c r="L18" s="2"/>
      <x:c r="M18" s="2"/>
      <x:c r="N18" s="2"/>
      <x:c r="O18" s="2"/>
    </x:row>
    <x:row r="19" ht="26" customHeight="1">
      <x:c r="A19" s="2"/>
      <x:c r="B19" s="2"/>
      <x:c r="C19" s="42" t="str">
        <x:v>공통 조건과 시나리오별 입력</x:v>
      </x:c>
      <x:c r="D19" s="42"/>
      <x:c r="E19" s="42"/>
      <x:c r="F19" s="42"/>
      <x:c r="G19" s="42"/>
      <x:c r="H19" s="42"/>
      <x:c r="I19" s="42"/>
      <x:c r="J19" s="42"/>
      <x:c r="K19" s="42"/>
      <x:c r="L19" s="42"/>
      <x:c r="M19" s="42"/>
      <x:c r="N19" s="42"/>
      <x:c r="O19" s="2"/>
    </x:row>
    <x:row r="20" ht="24" customHeight="1">
      <x:c r="A20" s="2"/>
      <x:c r="B20" s="2"/>
      <x:c r="C20" s="2"/>
      <x:c r="D20" s="2"/>
      <x:c r="E20" s="2"/>
      <x:c r="F20" s="2"/>
      <x:c r="G20" s="2"/>
      <x:c r="H20" s="2"/>
      <x:c r="I20" s="2"/>
      <x:c r="J20" s="2"/>
      <x:c r="K20" s="2"/>
      <x:c r="L20" s="2"/>
      <x:c r="M20" s="2"/>
      <x:c r="N20" s="2"/>
      <x:c r="O20" s="2"/>
    </x:row>
    <x:row r="21" ht="24" customHeight="1">
      <x:c r="A21" s="2"/>
      <x:c r="B21" s="2"/>
      <x:c r="C21" s="2" t="str">
        <x:v>출하 중 최종 설치 전환 비율</x:v>
      </x:c>
      <x:c r="D21" s="2"/>
      <x:c r="E21" s="31" t="n">
        <x:v>0.9</x:v>
      </x:c>
      <x:c r="F21" s="2"/>
      <x:c r="G21" s="4" t="str">
        <x:v>출하의 10%는 분석기간 내 미설치로 가정합니다.</x:v>
      </x:c>
      <x:c r="H21" s="2"/>
      <x:c r="I21" s="2"/>
      <x:c r="J21" s="2"/>
      <x:c r="K21" s="2"/>
      <x:c r="L21" s="2"/>
      <x:c r="M21" s="2"/>
      <x:c r="N21" s="2"/>
      <x:c r="O21" s="2"/>
    </x:row>
    <x:row r="22" ht="24" customHeight="1">
      <x:c r="A22" s="2"/>
      <x:c r="B22" s="2"/>
      <x:c r="C22" s="2" t="str">
        <x:v>설치 대비 실제 가동 비율</x:v>
      </x:c>
      <x:c r="D22" s="2"/>
      <x:c r="E22" s="31" t="n">
        <x:v>0.85</x:v>
      </x:c>
      <x:c r="F22" s="2"/>
      <x:c r="G22" s="2"/>
      <x:c r="H22" s="2"/>
      <x:c r="I22" s="2"/>
      <x:c r="J22" s="2"/>
      <x:c r="K22" s="2"/>
      <x:c r="L22" s="2"/>
      <x:c r="M22" s="2"/>
      <x:c r="N22" s="2"/>
      <x:c r="O22" s="2"/>
    </x:row>
    <x:row r="23" ht="24" customHeight="1">
      <x:c r="A23" s="2"/>
      <x:c r="B23" s="2"/>
      <x:c r="C23" s="2" t="str">
        <x:v>실가동 중 서비스 유료 부착률</x:v>
      </x:c>
      <x:c r="D23" s="2"/>
      <x:c r="E23" s="31" t="n">
        <x:v>0.6</x:v>
      </x:c>
      <x:c r="F23" s="2"/>
      <x:c r="G23" s="2"/>
      <x:c r="H23" s="2"/>
      <x:c r="I23" s="2"/>
      <x:c r="J23" s="2"/>
      <x:c r="K23" s="2"/>
      <x:c r="L23" s="2"/>
      <x:c r="M23" s="2"/>
      <x:c r="N23" s="2"/>
      <x:c r="O23" s="2"/>
    </x:row>
    <x:row r="24" ht="24" customHeight="1">
      <x:c r="A24" s="2"/>
      <x:c r="B24" s="2"/>
      <x:c r="C24" s="2" t="str">
        <x:v>신규 기체 사용연수</x:v>
      </x:c>
      <x:c r="D24" s="2"/>
      <x:c r="E24" s="29" t="n">
        <x:v>7</x:v>
      </x:c>
      <x:c r="F24" s="2"/>
      <x:c r="G24" s="2"/>
      <x:c r="H24" s="2"/>
      <x:c r="I24" s="2"/>
      <x:c r="J24" s="2"/>
      <x:c r="K24" s="2"/>
      <x:c r="L24" s="2"/>
      <x:c r="M24" s="2"/>
      <x:c r="N24" s="2"/>
      <x:c r="O24" s="2"/>
    </x:row>
    <x:row r="25" ht="24" customHeight="1">
      <x:c r="A25" s="2"/>
      <x:c r="B25" s="2"/>
      <x:c r="C25" s="2" t="str">
        <x:v>2026년 기초 설치 대수</x:v>
      </x:c>
      <x:c r="D25" s="2"/>
      <x:c r="E25" s="29" t="n">
        <x:v>0</x:v>
      </x:c>
      <x:c r="F25" s="2"/>
      <x:c r="G25" s="2"/>
      <x:c r="H25" s="2"/>
      <x:c r="I25" s="2"/>
      <x:c r="J25" s="2"/>
      <x:c r="K25" s="2"/>
      <x:c r="L25" s="2"/>
      <x:c r="M25" s="2"/>
      <x:c r="N25" s="2"/>
      <x:c r="O25" s="2"/>
    </x:row>
    <x:row r="26" ht="24" customHeight="1">
      <x:c r="A26" s="2"/>
      <x:c r="B26" s="2"/>
      <x:c r="C26" s="2"/>
      <x:c r="D26" s="2"/>
      <x:c r="E26" s="2"/>
      <x:c r="F26" s="2"/>
      <x:c r="G26" s="2"/>
      <x:c r="H26" s="2"/>
      <x:c r="I26" s="2"/>
      <x:c r="J26" s="2"/>
      <x:c r="K26" s="2"/>
      <x:c r="L26" s="2"/>
      <x:c r="M26" s="2"/>
      <x:c r="N26" s="2"/>
      <x:c r="O26" s="2"/>
    </x:row>
    <x:row r="27" ht="24" customHeight="1">
      <x:c r="A27" s="2"/>
      <x:c r="B27" s="2"/>
      <x:c r="C27" s="2"/>
      <x:c r="D27" s="2"/>
      <x:c r="E27" s="2"/>
      <x:c r="F27" s="2"/>
      <x:c r="G27" s="2"/>
      <x:c r="H27" s="2"/>
      <x:c r="I27" s="2"/>
      <x:c r="J27" s="2"/>
      <x:c r="K27" s="2"/>
      <x:c r="L27" s="2"/>
      <x:c r="M27" s="2"/>
      <x:c r="N27" s="2"/>
      <x:c r="O27" s="2"/>
    </x:row>
    <x:row r="28" ht="24" customHeight="1">
      <x:c r="A28" s="2"/>
      <x:c r="B28" s="2"/>
      <x:c r="C28" s="12" t="str">
        <x:v>선택된 최초 ASP</x:v>
      </x:c>
      <x:c r="D28" s="12"/>
      <x:c r="E28" s="19" t="n">
        <x:f>IF(AND(ISNUMBER($E$5),$E$5&gt;=1,$E$5&lt;=3,MOD($E$5,1)=0),CHOOSE($E$5,IF(ISNUMBER(E29),E29,"입력 누락"),IF(ISNUMBER(E30),E30,"입력 누락"),IF(ISNUMBER(E31),E31,"입력 누락")),"시나리오 확인")</x:f>
        <x:v>65000</x:v>
      </x:c>
      <x:c r="F28" s="2"/>
      <x:c r="G28" s="2"/>
      <x:c r="H28" s="2"/>
      <x:c r="I28" s="2"/>
      <x:c r="J28" s="2"/>
      <x:c r="K28" s="2"/>
      <x:c r="L28" s="2"/>
      <x:c r="M28" s="2"/>
      <x:c r="N28" s="2"/>
      <x:c r="O28" s="2"/>
    </x:row>
    <x:row r="29" ht="24" customHeight="1">
      <x:c r="A29" s="2"/>
      <x:c r="B29" s="2"/>
      <x:c r="C29" s="2" t="str">
        <x:v>비관</x:v>
      </x:c>
      <x:c r="D29" s="2"/>
      <x:c r="E29" s="27" t="n">
        <x:v>70000</x:v>
      </x:c>
      <x:c r="F29" s="2"/>
      <x:c r="G29" s="2"/>
      <x:c r="H29" s="2"/>
      <x:c r="I29" s="2"/>
      <x:c r="J29" s="2"/>
      <x:c r="K29" s="2"/>
      <x:c r="L29" s="2"/>
      <x:c r="M29" s="2"/>
      <x:c r="N29" s="2"/>
      <x:c r="O29" s="2"/>
    </x:row>
    <x:row r="30" ht="24" customHeight="1">
      <x:c r="A30" s="2"/>
      <x:c r="B30" s="2"/>
      <x:c r="C30" s="2" t="str">
        <x:v>기준</x:v>
      </x:c>
      <x:c r="D30" s="2"/>
      <x:c r="E30" s="27" t="n">
        <x:v>65000</x:v>
      </x:c>
      <x:c r="F30" s="2"/>
      <x:c r="G30" s="2"/>
      <x:c r="H30" s="2"/>
      <x:c r="I30" s="2"/>
      <x:c r="J30" s="2"/>
      <x:c r="K30" s="2"/>
      <x:c r="L30" s="2"/>
      <x:c r="M30" s="2"/>
      <x:c r="N30" s="2"/>
      <x:c r="O30" s="2"/>
    </x:row>
    <x:row r="31" ht="24" customHeight="1">
      <x:c r="A31" s="2"/>
      <x:c r="B31" s="2"/>
      <x:c r="C31" s="2" t="str">
        <x:v>낙관</x:v>
      </x:c>
      <x:c r="D31" s="2"/>
      <x:c r="E31" s="27" t="n">
        <x:v>60000</x:v>
      </x:c>
      <x:c r="F31" s="2"/>
      <x:c r="G31" s="2"/>
      <x:c r="H31" s="2"/>
      <x:c r="I31" s="2"/>
      <x:c r="J31" s="2"/>
      <x:c r="K31" s="2"/>
      <x:c r="L31" s="2"/>
      <x:c r="M31" s="2"/>
      <x:c r="N31" s="2"/>
      <x:c r="O31" s="2"/>
    </x:row>
    <x:row r="32" ht="24" customHeight="1">
      <x:c r="A32" s="2"/>
      <x:c r="B32" s="2"/>
      <x:c r="C32" s="2"/>
      <x:c r="D32" s="2"/>
      <x:c r="E32" s="2"/>
      <x:c r="F32" s="2"/>
      <x:c r="G32" s="2"/>
      <x:c r="H32" s="2"/>
      <x:c r="I32" s="2"/>
      <x:c r="J32" s="2"/>
      <x:c r="K32" s="2"/>
      <x:c r="L32" s="2"/>
      <x:c r="M32" s="2"/>
      <x:c r="N32" s="2"/>
      <x:c r="O32" s="2"/>
    </x:row>
    <x:row r="33" ht="24" customHeight="1">
      <x:c r="A33" s="2"/>
      <x:c r="B33" s="2"/>
      <x:c r="C33" s="12" t="str">
        <x:v>선택된 연 가격 하락률</x:v>
      </x:c>
      <x:c r="D33" s="12"/>
      <x:c r="E33" s="43" t="n">
        <x:f>IF(AND(ISNUMBER($E$5),$E$5&gt;=1,$E$5&lt;=3,MOD($E$5,1)=0),CHOOSE($E$5,IF(ISNUMBER(E34),E34,"입력 누락"),IF(ISNUMBER(E35),E35,"입력 누락"),IF(ISNUMBER(E36),E36,"입력 누락")),"시나리오 확인")</x:f>
        <x:v>0.06</x:v>
      </x:c>
      <x:c r="F33" s="2"/>
      <x:c r="G33" s="2"/>
      <x:c r="H33" s="2"/>
      <x:c r="I33" s="2"/>
      <x:c r="J33" s="2"/>
      <x:c r="K33" s="2"/>
      <x:c r="L33" s="2"/>
      <x:c r="M33" s="2"/>
      <x:c r="N33" s="2"/>
      <x:c r="O33" s="2"/>
    </x:row>
    <x:row r="34" ht="24" customHeight="1">
      <x:c r="A34" s="2"/>
      <x:c r="B34" s="2"/>
      <x:c r="C34" s="2" t="str">
        <x:v>비관</x:v>
      </x:c>
      <x:c r="D34" s="2"/>
      <x:c r="E34" s="31" t="n">
        <x:v>0.04</x:v>
      </x:c>
      <x:c r="F34" s="2"/>
      <x:c r="G34" s="2"/>
      <x:c r="H34" s="2"/>
      <x:c r="I34" s="2"/>
      <x:c r="J34" s="2"/>
      <x:c r="K34" s="2"/>
      <x:c r="L34" s="2"/>
      <x:c r="M34" s="2"/>
      <x:c r="N34" s="2"/>
      <x:c r="O34" s="2"/>
    </x:row>
    <x:row r="35" ht="24" customHeight="1">
      <x:c r="A35" s="2"/>
      <x:c r="B35" s="2"/>
      <x:c r="C35" s="2" t="str">
        <x:v>기준</x:v>
      </x:c>
      <x:c r="D35" s="2"/>
      <x:c r="E35" s="31" t="n">
        <x:v>0.06</x:v>
      </x:c>
      <x:c r="F35" s="2"/>
      <x:c r="G35" s="2"/>
      <x:c r="H35" s="2"/>
      <x:c r="I35" s="2"/>
      <x:c r="J35" s="2"/>
      <x:c r="K35" s="2"/>
      <x:c r="L35" s="2"/>
      <x:c r="M35" s="2"/>
      <x:c r="N35" s="2"/>
      <x:c r="O35" s="2"/>
    </x:row>
    <x:row r="36" ht="24" customHeight="1">
      <x:c r="A36" s="2"/>
      <x:c r="B36" s="2"/>
      <x:c r="C36" s="2" t="str">
        <x:v>낙관</x:v>
      </x:c>
      <x:c r="D36" s="2"/>
      <x:c r="E36" s="31" t="n">
        <x:v>0.08</x:v>
      </x:c>
      <x:c r="F36" s="2"/>
      <x:c r="G36" s="2"/>
      <x:c r="H36" s="2"/>
      <x:c r="I36" s="2"/>
      <x:c r="J36" s="2"/>
      <x:c r="K36" s="2"/>
      <x:c r="L36" s="2"/>
      <x:c r="M36" s="2"/>
      <x:c r="N36" s="2"/>
      <x:c r="O36" s="2"/>
    </x:row>
    <x:row r="37" ht="24" customHeight="1">
      <x:c r="A37" s="2"/>
      <x:c r="B37" s="2"/>
      <x:c r="C37" s="2"/>
      <x:c r="D37" s="2"/>
      <x:c r="E37" s="2"/>
      <x:c r="F37" s="2"/>
      <x:c r="G37" s="2"/>
      <x:c r="H37" s="2"/>
      <x:c r="I37" s="2"/>
      <x:c r="J37" s="2"/>
      <x:c r="K37" s="2"/>
      <x:c r="L37" s="2"/>
      <x:c r="M37" s="2"/>
      <x:c r="N37" s="2"/>
      <x:c r="O37" s="2"/>
    </x:row>
    <x:row r="38" ht="24" customHeight="1">
      <x:c r="A38" s="2"/>
      <x:c r="B38" s="2"/>
      <x:c r="C38" s="12" t="str">
        <x:v>선택된 연 서비스 단가</x:v>
      </x:c>
      <x:c r="D38" s="12"/>
      <x:c r="E38" s="19" t="n">
        <x:f>IF(AND(ISNUMBER($E$5),$E$5&gt;=1,$E$5&lt;=3,MOD($E$5,1)=0),CHOOSE($E$5,IF(ISNUMBER(E39),E39,"입력 누락"),IF(ISNUMBER(E40),E40,"입력 누락"),IF(ISNUMBER(E41),E41,"입력 누락")),"시나리오 확인")</x:f>
        <x:v>4000</x:v>
      </x:c>
      <x:c r="F38" s="2"/>
      <x:c r="G38" s="2"/>
      <x:c r="H38" s="2"/>
      <x:c r="I38" s="2"/>
      <x:c r="J38" s="2"/>
      <x:c r="K38" s="2"/>
      <x:c r="L38" s="2"/>
      <x:c r="M38" s="2"/>
      <x:c r="N38" s="2"/>
      <x:c r="O38" s="2"/>
    </x:row>
    <x:row r="39" ht="24" customHeight="1">
      <x:c r="A39" s="2"/>
      <x:c r="B39" s="2"/>
      <x:c r="C39" s="2" t="str">
        <x:v>비관</x:v>
      </x:c>
      <x:c r="D39" s="2"/>
      <x:c r="E39" s="27" t="n">
        <x:v>3000</x:v>
      </x:c>
      <x:c r="F39" s="2"/>
      <x:c r="G39" s="2"/>
      <x:c r="H39" s="2"/>
      <x:c r="I39" s="2"/>
      <x:c r="J39" s="2"/>
      <x:c r="K39" s="2"/>
      <x:c r="L39" s="2"/>
      <x:c r="M39" s="2"/>
      <x:c r="N39" s="2"/>
      <x:c r="O39" s="2"/>
    </x:row>
    <x:row r="40" ht="24" customHeight="1">
      <x:c r="A40" s="2"/>
      <x:c r="B40" s="2"/>
      <x:c r="C40" s="2" t="str">
        <x:v>기준</x:v>
      </x:c>
      <x:c r="D40" s="2"/>
      <x:c r="E40" s="27" t="n">
        <x:v>4000</x:v>
      </x:c>
      <x:c r="F40" s="2"/>
      <x:c r="G40" s="2"/>
      <x:c r="H40" s="2"/>
      <x:c r="I40" s="2"/>
      <x:c r="J40" s="2"/>
      <x:c r="K40" s="2"/>
      <x:c r="L40" s="2"/>
      <x:c r="M40" s="2"/>
      <x:c r="N40" s="2"/>
      <x:c r="O40" s="2"/>
    </x:row>
    <x:row r="41" ht="24" customHeight="1">
      <x:c r="A41" s="2"/>
      <x:c r="B41" s="2"/>
      <x:c r="C41" s="2" t="str">
        <x:v>낙관</x:v>
      </x:c>
      <x:c r="D41" s="2"/>
      <x:c r="E41" s="27" t="n">
        <x:v>4500</x:v>
      </x:c>
      <x:c r="F41" s="2"/>
      <x:c r="G41" s="2"/>
      <x:c r="H41" s="2"/>
      <x:c r="I41" s="2"/>
      <x:c r="J41" s="2"/>
      <x:c r="K41" s="2"/>
      <x:c r="L41" s="2"/>
      <x:c r="M41" s="2"/>
      <x:c r="N41" s="2"/>
      <x:c r="O41" s="2"/>
    </x:row>
    <x:row r="42" ht="24" customHeight="1">
      <x:c r="A42" s="2"/>
      <x:c r="B42" s="2"/>
      <x:c r="C42" s="2"/>
      <x:c r="D42" s="2"/>
      <x:c r="E42" s="2"/>
      <x:c r="F42" s="2"/>
      <x:c r="G42" s="2"/>
      <x:c r="H42" s="2"/>
      <x:c r="I42" s="2"/>
      <x:c r="J42" s="2"/>
      <x:c r="K42" s="2"/>
      <x:c r="L42" s="2"/>
      <x:c r="M42" s="2"/>
      <x:c r="N42" s="2"/>
      <x:c r="O42" s="2"/>
    </x:row>
    <x:row r="43" ht="24" customHeight="1">
      <x:c r="A43" s="2"/>
      <x:c r="B43" s="2"/>
      <x:c r="C43" s="2"/>
      <x:c r="D43" s="2"/>
      <x:c r="E43" s="2"/>
      <x:c r="F43" s="2"/>
      <x:c r="G43" s="2"/>
      <x:c r="H43" s="2"/>
      <x:c r="I43" s="2"/>
      <x:c r="J43" s="2"/>
      <x:c r="K43" s="2"/>
      <x:c r="L43" s="2"/>
      <x:c r="M43" s="2"/>
      <x:c r="N43" s="2"/>
      <x:c r="O43" s="2"/>
    </x:row>
    <x:row r="44" ht="34" customHeight="1">
      <x:c r="A44" s="2"/>
      <x:c r="B44" s="2"/>
      <x:c r="C44" s="8" t="str">
        <x:v>연 출하 가정</x:v>
      </x:c>
      <x:c r="D44" s="8" t="str">
        <x:v>대</x:v>
      </x:c>
      <x:c r="E44" s="8" t="n">
        <x:v>2026</x:v>
      </x:c>
      <x:c r="F44" s="8" t="n">
        <x:v>2027</x:v>
      </x:c>
      <x:c r="G44" s="8" t="n">
        <x:v>2028</x:v>
      </x:c>
      <x:c r="H44" s="8" t="n">
        <x:v>2029</x:v>
      </x:c>
      <x:c r="I44" s="8" t="n">
        <x:v>2030</x:v>
      </x:c>
      <x:c r="J44" s="8" t="n">
        <x:v>2031</x:v>
      </x:c>
      <x:c r="K44" s="8" t="n">
        <x:v>2032</x:v>
      </x:c>
      <x:c r="L44" s="8" t="n">
        <x:v>2033</x:v>
      </x:c>
      <x:c r="M44" s="8" t="n">
        <x:v>2034</x:v>
      </x:c>
      <x:c r="N44" s="8" t="n">
        <x:v>2035</x:v>
      </x:c>
      <x:c r="O44" s="2"/>
    </x:row>
    <x:row r="45" ht="24" customHeight="1">
      <x:c r="A45" s="2"/>
      <x:c r="B45" s="2"/>
      <x:c r="C45" s="2" t="str">
        <x:v>선택된 출하</x:v>
      </x:c>
      <x:c r="D45" s="2"/>
      <x:c r="E45" s="15" t="n">
        <x:f>IF(AND(ISNUMBER($E$5),$E$5&gt;=1,$E$5&lt;=3,MOD($E$5,1)=0),CHOOSE($E$5,IF(ISNUMBER(E46),E46,"입력 누락"),IF(ISNUMBER(E47),E47,"입력 누락"),IF(ISNUMBER(E48),E48,"입력 누락")),"시나리오 확인")</x:f>
        <x:v>40000</x:v>
      </x:c>
      <x:c r="F45" s="15" t="n">
        <x:f>IF(AND(ISNUMBER($E$5),$E$5&gt;=1,$E$5&lt;=3,MOD($E$5,1)=0),CHOOSE($E$5,IF(ISNUMBER(F46),F46,"입력 누락"),IF(ISNUMBER(F47),F47,"입력 누락"),IF(ISNUMBER(F48),F48,"입력 누락")),"시나리오 확인")</x:f>
        <x:v>65000</x:v>
      </x:c>
      <x:c r="G45" s="15" t="n">
        <x:f>IF(AND(ISNUMBER($E$5),$E$5&gt;=1,$E$5&lt;=3,MOD($E$5,1)=0),CHOOSE($E$5,IF(ISNUMBER(G46),G46,"입력 누락"),IF(ISNUMBER(G47),G47,"입력 누락"),IF(ISNUMBER(G48),G48,"입력 누락")),"시나리오 확인")</x:f>
        <x:v>105000</x:v>
      </x:c>
      <x:c r="H45" s="15" t="n">
        <x:f>IF(AND(ISNUMBER($E$5),$E$5&gt;=1,$E$5&lt;=3,MOD($E$5,1)=0),CHOOSE($E$5,IF(ISNUMBER(H46),H46,"입력 누락"),IF(ISNUMBER(H47),H47,"입력 누락"),IF(ISNUMBER(H48),H48,"입력 누락")),"시나리오 확인")</x:f>
        <x:v>165000</x:v>
      </x:c>
      <x:c r="I45" s="15" t="n">
        <x:f>IF(AND(ISNUMBER($E$5),$E$5&gt;=1,$E$5&lt;=3,MOD($E$5,1)=0),CHOOSE($E$5,IF(ISNUMBER(I46),I46,"입력 누락"),IF(ISNUMBER(I47),I47,"입력 누락"),IF(ISNUMBER(I48),I48,"입력 누락")),"시나리오 확인")</x:f>
        <x:v>250000</x:v>
      </x:c>
      <x:c r="J45" s="15" t="n">
        <x:f>IF(AND(ISNUMBER($E$5),$E$5&gt;=1,$E$5&lt;=3,MOD($E$5,1)=0),CHOOSE($E$5,IF(ISNUMBER(J46),J46,"입력 누락"),IF(ISNUMBER(J47),J47,"입력 누락"),IF(ISNUMBER(J48),J48,"입력 누락")),"시나리오 확인")</x:f>
        <x:v>370000</x:v>
      </x:c>
      <x:c r="K45" s="15" t="n">
        <x:f>IF(AND(ISNUMBER($E$5),$E$5&gt;=1,$E$5&lt;=3,MOD($E$5,1)=0),CHOOSE($E$5,IF(ISNUMBER(K46),K46,"입력 누락"),IF(ISNUMBER(K47),K47,"입력 누락"),IF(ISNUMBER(K48),K48,"입력 누락")),"시나리오 확인")</x:f>
        <x:v>530000</x:v>
      </x:c>
      <x:c r="L45" s="15" t="n">
        <x:f>IF(AND(ISNUMBER($E$5),$E$5&gt;=1,$E$5&lt;=3,MOD($E$5,1)=0),CHOOSE($E$5,IF(ISNUMBER(L46),L46,"입력 누락"),IF(ISNUMBER(L47),L47,"입력 누락"),IF(ISNUMBER(L48),L48,"입력 누락")),"시나리오 확인")</x:f>
        <x:v>720000</x:v>
      </x:c>
      <x:c r="M45" s="15" t="n">
        <x:f>IF(AND(ISNUMBER($E$5),$E$5&gt;=1,$E$5&lt;=3,MOD($E$5,1)=0),CHOOSE($E$5,IF(ISNUMBER(M46),M46,"입력 누락"),IF(ISNUMBER(M47),M47,"입력 누락"),IF(ISNUMBER(M48),M48,"입력 누락")),"시나리오 확인")</x:f>
        <x:v>950000</x:v>
      </x:c>
      <x:c r="N45" s="15" t="n">
        <x:f>IF(AND(ISNUMBER($E$5),$E$5&gt;=1,$E$5&lt;=3,MOD($E$5,1)=0),CHOOSE($E$5,IF(ISNUMBER(N46),N46,"입력 누락"),IF(ISNUMBER(N47),N47,"입력 누락"),IF(ISNUMBER(N48),N48,"입력 누락")),"시나리오 확인")</x:f>
        <x:v>1200000</x:v>
      </x:c>
      <x:c r="O45" s="2"/>
    </x:row>
    <x:row r="46" ht="24" customHeight="1">
      <x:c r="A46" s="2"/>
      <x:c r="B46" s="2"/>
      <x:c r="C46" s="2" t="str">
        <x:v>비관</x:v>
      </x:c>
      <x:c r="D46" s="2"/>
      <x:c r="E46" s="29" t="n">
        <x:v>25000</x:v>
      </x:c>
      <x:c r="F46" s="29" t="n">
        <x:v>35000</x:v>
      </x:c>
      <x:c r="G46" s="29" t="n">
        <x:v>50000</x:v>
      </x:c>
      <x:c r="H46" s="29" t="n">
        <x:v>70000</x:v>
      </x:c>
      <x:c r="I46" s="29" t="n">
        <x:v>100000</x:v>
      </x:c>
      <x:c r="J46" s="29" t="n">
        <x:v>140000</x:v>
      </x:c>
      <x:c r="K46" s="29" t="n">
        <x:v>185000</x:v>
      </x:c>
      <x:c r="L46" s="29" t="n">
        <x:v>230000</x:v>
      </x:c>
      <x:c r="M46" s="29" t="n">
        <x:v>275000</x:v>
      </x:c>
      <x:c r="N46" s="29" t="n">
        <x:v>320000</x:v>
      </x:c>
      <x:c r="O46" s="2"/>
    </x:row>
    <x:row r="47" ht="24" customHeight="1">
      <x:c r="A47" s="2"/>
      <x:c r="B47" s="2"/>
      <x:c r="C47" s="2" t="str">
        <x:v>기준</x:v>
      </x:c>
      <x:c r="D47" s="2"/>
      <x:c r="E47" s="29" t="n">
        <x:v>40000</x:v>
      </x:c>
      <x:c r="F47" s="29" t="n">
        <x:v>65000</x:v>
      </x:c>
      <x:c r="G47" s="29" t="n">
        <x:v>105000</x:v>
      </x:c>
      <x:c r="H47" s="29" t="n">
        <x:v>165000</x:v>
      </x:c>
      <x:c r="I47" s="29" t="n">
        <x:v>250000</x:v>
      </x:c>
      <x:c r="J47" s="29" t="n">
        <x:v>370000</x:v>
      </x:c>
      <x:c r="K47" s="29" t="n">
        <x:v>530000</x:v>
      </x:c>
      <x:c r="L47" s="29" t="n">
        <x:v>720000</x:v>
      </x:c>
      <x:c r="M47" s="29" t="n">
        <x:v>950000</x:v>
      </x:c>
      <x:c r="N47" s="29" t="n">
        <x:v>1200000</x:v>
      </x:c>
      <x:c r="O47" s="2"/>
    </x:row>
    <x:row r="48" ht="24" customHeight="1">
      <x:c r="A48" s="2"/>
      <x:c r="B48" s="2"/>
      <x:c r="C48" s="2" t="str">
        <x:v>낙관</x:v>
      </x:c>
      <x:c r="D48" s="2"/>
      <x:c r="E48" s="29" t="n">
        <x:v>60000</x:v>
      </x:c>
      <x:c r="F48" s="29" t="n">
        <x:v>110000</x:v>
      </x:c>
      <x:c r="G48" s="29" t="n">
        <x:v>200000</x:v>
      </x:c>
      <x:c r="H48" s="29" t="n">
        <x:v>360000</x:v>
      </x:c>
      <x:c r="I48" s="29" t="n">
        <x:v>650000</x:v>
      </x:c>
      <x:c r="J48" s="29" t="n">
        <x:v>1050000</x:v>
      </x:c>
      <x:c r="K48" s="29" t="n">
        <x:v>1600000</x:v>
      </x:c>
      <x:c r="L48" s="29" t="n">
        <x:v>2300000</x:v>
      </x:c>
      <x:c r="M48" s="29" t="n">
        <x:v>3200000</x:v>
      </x:c>
      <x:c r="N48" s="29" t="n">
        <x:v>4300000</x:v>
      </x:c>
      <x:c r="O48" s="2"/>
    </x:row>
    <x:row r="49" ht="24" customHeight="1">
      <x:c r="A49" s="2"/>
      <x:c r="B49" s="2"/>
      <x:c r="C49" s="2"/>
      <x:c r="D49" s="2"/>
      <x:c r="E49" s="2"/>
      <x:c r="F49" s="2"/>
      <x:c r="G49" s="2"/>
      <x:c r="H49" s="2"/>
      <x:c r="I49" s="2"/>
      <x:c r="J49" s="2"/>
      <x:c r="K49" s="2"/>
      <x:c r="L49" s="2"/>
      <x:c r="M49" s="2"/>
      <x:c r="N49" s="2"/>
      <x:c r="O49" s="2"/>
    </x:row>
    <x:row r="50" ht="24" customHeight="1">
      <x:c r="A50" s="2"/>
      <x:c r="B50" s="2"/>
      <x:c r="C50" s="2" t="str">
        <x:v>연도별 입력 유효성</x:v>
      </x:c>
      <x:c r="D50" s="2"/>
      <x:c r="E50" s="9" t="str">
        <x:f>IF(AND(COUNT($E$21:$E$25)=5,MIN($E$21:$E$25)&gt;=0,$E$21&lt;=1,$E$22&lt;=1,$E$23&lt;=1,$E$24&gt;=1,MOD($E$24,1)=0,COUNT($E$28,$E$33,$E$38,E45)=4,$E$28&gt;=0,$E$33&gt;=0,$E$33&lt;=1,$E$38&gt;=0,E45&gt;=0),"입력 유효","입력 확인")</x:f>
        <x:v>입력 유효</x:v>
      </x:c>
      <x:c r="F50" s="9" t="str">
        <x:f>IF(AND(COUNT($E$21:$E$25)=5,MIN($E$21:$E$25)&gt;=0,$E$21&lt;=1,$E$22&lt;=1,$E$23&lt;=1,$E$24&gt;=1,MOD($E$24,1)=0,COUNT($E$28,$E$33,$E$38,F45)=4,$E$28&gt;=0,$E$33&gt;=0,$E$33&lt;=1,$E$38&gt;=0,F45&gt;=0),"입력 유효","입력 확인")</x:f>
        <x:v>입력 유효</x:v>
      </x:c>
      <x:c r="G50" s="9" t="str">
        <x:f>IF(AND(COUNT($E$21:$E$25)=5,MIN($E$21:$E$25)&gt;=0,$E$21&lt;=1,$E$22&lt;=1,$E$23&lt;=1,$E$24&gt;=1,MOD($E$24,1)=0,COUNT($E$28,$E$33,$E$38,G45)=4,$E$28&gt;=0,$E$33&gt;=0,$E$33&lt;=1,$E$38&gt;=0,G45&gt;=0),"입력 유효","입력 확인")</x:f>
        <x:v>입력 유효</x:v>
      </x:c>
      <x:c r="H50" s="9" t="str">
        <x:f>IF(AND(COUNT($E$21:$E$25)=5,MIN($E$21:$E$25)&gt;=0,$E$21&lt;=1,$E$22&lt;=1,$E$23&lt;=1,$E$24&gt;=1,MOD($E$24,1)=0,COUNT($E$28,$E$33,$E$38,H45)=4,$E$28&gt;=0,$E$33&gt;=0,$E$33&lt;=1,$E$38&gt;=0,H45&gt;=0),"입력 유효","입력 확인")</x:f>
        <x:v>입력 유효</x:v>
      </x:c>
      <x:c r="I50" s="9" t="str">
        <x:f>IF(AND(COUNT($E$21:$E$25)=5,MIN($E$21:$E$25)&gt;=0,$E$21&lt;=1,$E$22&lt;=1,$E$23&lt;=1,$E$24&gt;=1,MOD($E$24,1)=0,COUNT($E$28,$E$33,$E$38,I45)=4,$E$28&gt;=0,$E$33&gt;=0,$E$33&lt;=1,$E$38&gt;=0,I45&gt;=0),"입력 유효","입력 확인")</x:f>
        <x:v>입력 유효</x:v>
      </x:c>
      <x:c r="J50" s="9" t="str">
        <x:f>IF(AND(COUNT($E$21:$E$25)=5,MIN($E$21:$E$25)&gt;=0,$E$21&lt;=1,$E$22&lt;=1,$E$23&lt;=1,$E$24&gt;=1,MOD($E$24,1)=0,COUNT($E$28,$E$33,$E$38,J45)=4,$E$28&gt;=0,$E$33&gt;=0,$E$33&lt;=1,$E$38&gt;=0,J45&gt;=0),"입력 유효","입력 확인")</x:f>
        <x:v>입력 유효</x:v>
      </x:c>
      <x:c r="K50" s="9" t="str">
        <x:f>IF(AND(COUNT($E$21:$E$25)=5,MIN($E$21:$E$25)&gt;=0,$E$21&lt;=1,$E$22&lt;=1,$E$23&lt;=1,$E$24&gt;=1,MOD($E$24,1)=0,COUNT($E$28,$E$33,$E$38,K45)=4,$E$28&gt;=0,$E$33&gt;=0,$E$33&lt;=1,$E$38&gt;=0,K45&gt;=0),"입력 유효","입력 확인")</x:f>
        <x:v>입력 유효</x:v>
      </x:c>
      <x:c r="L50" s="9" t="str">
        <x:f>IF(AND(COUNT($E$21:$E$25)=5,MIN($E$21:$E$25)&gt;=0,$E$21&lt;=1,$E$22&lt;=1,$E$23&lt;=1,$E$24&gt;=1,MOD($E$24,1)=0,COUNT($E$28,$E$33,$E$38,L45)=4,$E$28&gt;=0,$E$33&gt;=0,$E$33&lt;=1,$E$38&gt;=0,L45&gt;=0),"입력 유효","입력 확인")</x:f>
        <x:v>입력 유효</x:v>
      </x:c>
      <x:c r="M50" s="9" t="str">
        <x:f>IF(AND(COUNT($E$21:$E$25)=5,MIN($E$21:$E$25)&gt;=0,$E$21&lt;=1,$E$22&lt;=1,$E$23&lt;=1,$E$24&gt;=1,MOD($E$24,1)=0,COUNT($E$28,$E$33,$E$38,M45)=4,$E$28&gt;=0,$E$33&gt;=0,$E$33&lt;=1,$E$38&gt;=0,M45&gt;=0),"입력 유효","입력 확인")</x:f>
        <x:v>입력 유효</x:v>
      </x:c>
      <x:c r="N50" s="9" t="str">
        <x:f>IF(AND(COUNT($E$21:$E$25)=5,MIN($E$21:$E$25)&gt;=0,$E$21&lt;=1,$E$22&lt;=1,$E$23&lt;=1,$E$24&gt;=1,MOD($E$24,1)=0,COUNT($E$28,$E$33,$E$38,N45)=4,$E$28&gt;=0,$E$33&gt;=0,$E$33&lt;=1,$E$38&gt;=0,N45&gt;=0),"입력 유효","입력 확인")</x:f>
        <x:v>입력 유효</x:v>
      </x:c>
      <x:c r="O50" s="2"/>
    </x:row>
    <x:row r="51" ht="24" customHeight="1">
      <x:c r="A51" s="2"/>
      <x:c r="B51" s="2"/>
      <x:c r="C51" s="2"/>
      <x:c r="D51" s="2"/>
      <x:c r="E51" s="2"/>
      <x:c r="F51" s="2"/>
      <x:c r="G51" s="2"/>
      <x:c r="H51" s="2"/>
      <x:c r="I51" s="2"/>
      <x:c r="J51" s="2"/>
      <x:c r="K51" s="2"/>
      <x:c r="L51" s="2"/>
      <x:c r="M51" s="2"/>
      <x:c r="N51" s="2"/>
      <x:c r="O51" s="2"/>
    </x:row>
    <x:row r="52" ht="24" customHeight="1">
      <x:c r="A52" s="2"/>
      <x:c r="B52" s="2"/>
      <x:c r="C52" s="2"/>
      <x:c r="D52" s="2"/>
      <x:c r="E52" s="2"/>
      <x:c r="F52" s="2"/>
      <x:c r="G52" s="2"/>
      <x:c r="H52" s="2"/>
      <x:c r="I52" s="2"/>
      <x:c r="J52" s="2"/>
      <x:c r="K52" s="2"/>
      <x:c r="L52" s="2"/>
      <x:c r="M52" s="2"/>
      <x:c r="N52" s="2"/>
      <x:c r="O52" s="2"/>
    </x:row>
    <x:row r="53" ht="34" customHeight="1">
      <x:c r="A53" s="2"/>
      <x:c r="B53" s="2"/>
      <x:c r="C53" s="8" t="str">
        <x:v>계산 과정</x:v>
      </x:c>
      <x:c r="D53" s="8" t="str">
        <x:v>단위</x:v>
      </x:c>
      <x:c r="E53" s="8" t="n">
        <x:v>2026</x:v>
      </x:c>
      <x:c r="F53" s="8" t="n">
        <x:v>2027</x:v>
      </x:c>
      <x:c r="G53" s="8" t="n">
        <x:v>2028</x:v>
      </x:c>
      <x:c r="H53" s="8" t="n">
        <x:v>2029</x:v>
      </x:c>
      <x:c r="I53" s="8" t="n">
        <x:v>2030</x:v>
      </x:c>
      <x:c r="J53" s="8" t="n">
        <x:v>2031</x:v>
      </x:c>
      <x:c r="K53" s="8" t="n">
        <x:v>2032</x:v>
      </x:c>
      <x:c r="L53" s="8" t="n">
        <x:v>2033</x:v>
      </x:c>
      <x:c r="M53" s="8" t="n">
        <x:v>2034</x:v>
      </x:c>
      <x:c r="N53" s="8" t="n">
        <x:v>2035</x:v>
      </x:c>
      <x:c r="O53" s="2"/>
    </x:row>
    <x:row r="54" ht="24" customHeight="1">
      <x:c r="A54" s="2"/>
      <x:c r="B54" s="2"/>
      <x:c r="C54" s="2" t="str">
        <x:v>연 출하</x:v>
      </x:c>
      <x:c r="D54" s="2" t="str">
        <x:v>대</x:v>
      </x:c>
      <x:c r="E54" s="15" t="n">
        <x:f>IF(AND(E50="입력 유효"),E45,"입력 확인")</x:f>
        <x:v>40000</x:v>
      </x:c>
      <x:c r="F54" s="15" t="n">
        <x:f>IF(AND(F50="입력 유효"),F45,"입력 확인")</x:f>
        <x:v>65000</x:v>
      </x:c>
      <x:c r="G54" s="15" t="n">
        <x:f>IF(AND(G50="입력 유효"),G45,"입력 확인")</x:f>
        <x:v>105000</x:v>
      </x:c>
      <x:c r="H54" s="15" t="n">
        <x:f>IF(AND(H50="입력 유효"),H45,"입력 확인")</x:f>
        <x:v>165000</x:v>
      </x:c>
      <x:c r="I54" s="15" t="n">
        <x:f>IF(AND(I50="입력 유효"),I45,"입력 확인")</x:f>
        <x:v>250000</x:v>
      </x:c>
      <x:c r="J54" s="15" t="n">
        <x:f>IF(AND(J50="입력 유효"),J45,"입력 확인")</x:f>
        <x:v>370000</x:v>
      </x:c>
      <x:c r="K54" s="15" t="n">
        <x:f>IF(AND(K50="입력 유효"),K45,"입력 확인")</x:f>
        <x:v>530000</x:v>
      </x:c>
      <x:c r="L54" s="15" t="n">
        <x:f>IF(AND(L50="입력 유효"),L45,"입력 확인")</x:f>
        <x:v>720000</x:v>
      </x:c>
      <x:c r="M54" s="15" t="n">
        <x:f>IF(AND(M50="입력 유효"),M45,"입력 확인")</x:f>
        <x:v>950000</x:v>
      </x:c>
      <x:c r="N54" s="15" t="n">
        <x:f>IF(AND(N50="입력 유효"),N45,"입력 확인")</x:f>
        <x:v>1200000</x:v>
      </x:c>
      <x:c r="O54" s="2"/>
    </x:row>
    <x:row r="55" ht="24" customHeight="1">
      <x:c r="A55" s="2"/>
      <x:c r="B55" s="2"/>
      <x:c r="C55" s="2" t="str">
        <x:v>가동 개시</x:v>
      </x:c>
      <x:c r="D55" s="2" t="str">
        <x:v>대</x:v>
      </x:c>
      <x:c r="E55" s="15" t="n">
        <x:f>IF(AND(E50="입력 유효"),E54*$E$21,"입력 확인")</x:f>
        <x:v>36000</x:v>
      </x:c>
      <x:c r="F55" s="15" t="n">
        <x:f>IF(AND(F50="입력 유효"),F54*$E$21,"입력 확인")</x:f>
        <x:v>58500</x:v>
      </x:c>
      <x:c r="G55" s="15" t="n">
        <x:f>IF(AND(G50="입력 유효"),G54*$E$21,"입력 확인")</x:f>
        <x:v>94500</x:v>
      </x:c>
      <x:c r="H55" s="15" t="n">
        <x:f>IF(AND(H50="입력 유효"),H54*$E$21,"입력 확인")</x:f>
        <x:v>148500</x:v>
      </x:c>
      <x:c r="I55" s="15" t="n">
        <x:f>IF(AND(I50="입력 유효"),I54*$E$21,"입력 확인")</x:f>
        <x:v>225000</x:v>
      </x:c>
      <x:c r="J55" s="15" t="n">
        <x:f>IF(AND(J50="입력 유효"),J54*$E$21,"입력 확인")</x:f>
        <x:v>333000</x:v>
      </x:c>
      <x:c r="K55" s="15" t="n">
        <x:f>IF(AND(K50="입력 유효"),K54*$E$21,"입력 확인")</x:f>
        <x:v>477000</x:v>
      </x:c>
      <x:c r="L55" s="15" t="n">
        <x:f>IF(AND(L50="입력 유효"),L54*$E$21,"입력 확인")</x:f>
        <x:v>648000</x:v>
      </x:c>
      <x:c r="M55" s="15" t="n">
        <x:f>IF(AND(M50="입력 유효"),M54*$E$21,"입력 확인")</x:f>
        <x:v>855000</x:v>
      </x:c>
      <x:c r="N55" s="15" t="n">
        <x:f>IF(AND(N50="입력 유효"),N54*$E$21,"입력 확인")</x:f>
        <x:v>1080000</x:v>
      </x:c>
      <x:c r="O55" s="2"/>
    </x:row>
    <x:row r="56" ht="24" customHeight="1">
      <x:c r="A56" s="2"/>
      <x:c r="B56" s="2"/>
      <x:c r="C56" s="2" t="str">
        <x:v>기초 설치</x:v>
      </x:c>
      <x:c r="D56" s="2" t="str">
        <x:v>대</x:v>
      </x:c>
      <x:c r="E56" s="15" t="n">
        <x:f>IF(AND(E50="입력 유효"),$E$25,"입력 확인")</x:f>
        <x:v>0</x:v>
      </x:c>
      <x:c r="F56" s="15" t="n">
        <x:f>IF(AND(F50="입력 유효",ISNUMBER(E58)),E58,"입력 확인")</x:f>
        <x:v>36000</x:v>
      </x:c>
      <x:c r="G56" s="15" t="n">
        <x:f>IF(AND(G50="입력 유효",ISNUMBER(F58)),F58,"입력 확인")</x:f>
        <x:v>94500</x:v>
      </x:c>
      <x:c r="H56" s="15" t="n">
        <x:f>IF(AND(H50="입력 유효",ISNUMBER(G58)),G58,"입력 확인")</x:f>
        <x:v>189000</x:v>
      </x:c>
      <x:c r="I56" s="15" t="n">
        <x:f>IF(AND(I50="입력 유효",ISNUMBER(H58)),H58,"입력 확인")</x:f>
        <x:v>337500</x:v>
      </x:c>
      <x:c r="J56" s="15" t="n">
        <x:f>IF(AND(J50="입력 유효",ISNUMBER(I58)),I58,"입력 확인")</x:f>
        <x:v>562500</x:v>
      </x:c>
      <x:c r="K56" s="15" t="n">
        <x:f>IF(AND(K50="입력 유효",ISNUMBER(J58)),J58,"입력 확인")</x:f>
        <x:v>895500</x:v>
      </x:c>
      <x:c r="L56" s="15" t="n">
        <x:f>IF(AND(L50="입력 유효",ISNUMBER(K58)),K58,"입력 확인")</x:f>
        <x:v>1372500</x:v>
      </x:c>
      <x:c r="M56" s="15" t="n">
        <x:f>IF(AND(M50="입력 유효",ISNUMBER(L58)),L58,"입력 확인")</x:f>
        <x:v>1984500</x:v>
      </x:c>
      <x:c r="N56" s="15" t="n">
        <x:f>IF(AND(N50="입력 유효",ISNUMBER(M58)),M58,"입력 확인")</x:f>
        <x:v>2781000</x:v>
      </x:c>
      <x:c r="O56" s="2"/>
    </x:row>
    <x:row r="57" ht="24" customHeight="1">
      <x:c r="A57" s="2"/>
      <x:c r="B57" s="2"/>
      <x:c r="C57" s="2" t="str">
        <x:v>내용연수 도달 퇴역</x:v>
      </x:c>
      <x:c r="D57" s="2" t="str">
        <x:v>대</x:v>
      </x:c>
      <x:c r="E57" s="15" t="n">
        <x:f>IF(AND(E50="입력 유효"),IF(0&gt;=$E$24,INDEX($E$55:$N$55,1,0-$E$24+1),0),"입력 확인")</x:f>
        <x:v>0</x:v>
      </x:c>
      <x:c r="F57" s="15" t="n">
        <x:f>IF(AND(F50="입력 유효",ISNUMBER(E58)),IF(1&gt;=$E$24,INDEX($E$55:$N$55,1,1-$E$24+1),0),"입력 확인")</x:f>
        <x:v>0</x:v>
      </x:c>
      <x:c r="G57" s="15" t="n">
        <x:f>IF(AND(G50="입력 유효",ISNUMBER(F58)),IF(2&gt;=$E$24,INDEX($E$55:$N$55,1,2-$E$24+1),0),"입력 확인")</x:f>
        <x:v>0</x:v>
      </x:c>
      <x:c r="H57" s="15" t="n">
        <x:f>IF(AND(H50="입력 유효",ISNUMBER(G58)),IF(3&gt;=$E$24,INDEX($E$55:$N$55,1,3-$E$24+1),0),"입력 확인")</x:f>
        <x:v>0</x:v>
      </x:c>
      <x:c r="I57" s="15" t="n">
        <x:f>IF(AND(I50="입력 유효",ISNUMBER(H58)),IF(4&gt;=$E$24,INDEX($E$55:$N$55,1,4-$E$24+1),0),"입력 확인")</x:f>
        <x:v>0</x:v>
      </x:c>
      <x:c r="J57" s="15" t="n">
        <x:f>IF(AND(J50="입력 유효",ISNUMBER(I58)),IF(5&gt;=$E$24,INDEX($E$55:$N$55,1,5-$E$24+1),0),"입력 확인")</x:f>
        <x:v>0</x:v>
      </x:c>
      <x:c r="K57" s="15" t="n">
        <x:f>IF(AND(K50="입력 유효",ISNUMBER(J58)),IF(6&gt;=$E$24,INDEX($E$55:$N$55,1,6-$E$24+1),0),"입력 확인")</x:f>
        <x:v>0</x:v>
      </x:c>
      <x:c r="L57" s="15" t="n">
        <x:f>IF(AND(L50="입력 유효",ISNUMBER(K58)),IF(7&gt;=$E$24,INDEX($E$55:$N$55,1,7-$E$24+1),0),"입력 확인")</x:f>
        <x:v>36000</x:v>
      </x:c>
      <x:c r="M57" s="15" t="n">
        <x:f>IF(AND(M50="입력 유효",ISNUMBER(L58)),IF(8&gt;=$E$24,INDEX($E$55:$N$55,1,8-$E$24+1),0),"입력 확인")</x:f>
        <x:v>58500</x:v>
      </x:c>
      <x:c r="N57" s="15" t="n">
        <x:f>IF(AND(N50="입력 유효",ISNUMBER(M58)),IF(9&gt;=$E$24,INDEX($E$55:$N$55,1,9-$E$24+1),0),"입력 확인")</x:f>
        <x:v>94500</x:v>
      </x:c>
      <x:c r="O57" s="2"/>
    </x:row>
    <x:row r="58" ht="24" customHeight="1">
      <x:c r="A58" s="2"/>
      <x:c r="B58" s="2"/>
      <x:c r="C58" s="2" t="str">
        <x:v>기말 설치</x:v>
      </x:c>
      <x:c r="D58" s="2" t="str">
        <x:v>대</x:v>
      </x:c>
      <x:c r="E58" s="15" t="n">
        <x:f>IF(AND(E50="입력 유효"),E56+E55-E57,"입력 확인")</x:f>
        <x:v>36000</x:v>
      </x:c>
      <x:c r="F58" s="15" t="n">
        <x:f>IF(AND(F50="입력 유효",ISNUMBER(E58)),F56+F55-F57,"입력 확인")</x:f>
        <x:v>94500</x:v>
      </x:c>
      <x:c r="G58" s="15" t="n">
        <x:f>IF(AND(G50="입력 유효",ISNUMBER(F58)),G56+G55-G57,"입력 확인")</x:f>
        <x:v>189000</x:v>
      </x:c>
      <x:c r="H58" s="15" t="n">
        <x:f>IF(AND(H50="입력 유효",ISNUMBER(G58)),H56+H55-H57,"입력 확인")</x:f>
        <x:v>337500</x:v>
      </x:c>
      <x:c r="I58" s="15" t="n">
        <x:f>IF(AND(I50="입력 유효",ISNUMBER(H58)),I56+I55-I57,"입력 확인")</x:f>
        <x:v>562500</x:v>
      </x:c>
      <x:c r="J58" s="15" t="n">
        <x:f>IF(AND(J50="입력 유효",ISNUMBER(I58)),J56+J55-J57,"입력 확인")</x:f>
        <x:v>895500</x:v>
      </x:c>
      <x:c r="K58" s="15" t="n">
        <x:f>IF(AND(K50="입력 유효",ISNUMBER(J58)),K56+K55-K57,"입력 확인")</x:f>
        <x:v>1372500</x:v>
      </x:c>
      <x:c r="L58" s="15" t="n">
        <x:f>IF(AND(L50="입력 유효",ISNUMBER(K58)),L56+L55-L57,"입력 확인")</x:f>
        <x:v>1984500</x:v>
      </x:c>
      <x:c r="M58" s="15" t="n">
        <x:f>IF(AND(M50="입력 유효",ISNUMBER(L58)),M56+M55-M57,"입력 확인")</x:f>
        <x:v>2781000</x:v>
      </x:c>
      <x:c r="N58" s="15" t="n">
        <x:f>IF(AND(N50="입력 유효",ISNUMBER(M58)),N56+N55-N57,"입력 확인")</x:f>
        <x:v>3766500</x:v>
      </x:c>
      <x:c r="O58" s="2"/>
    </x:row>
    <x:row r="59" ht="24" customHeight="1">
      <x:c r="A59" s="2"/>
      <x:c r="B59" s="2"/>
      <x:c r="C59" s="2" t="str">
        <x:v>연평균 설치</x:v>
      </x:c>
      <x:c r="D59" s="2" t="str">
        <x:v>대</x:v>
      </x:c>
      <x:c r="E59" s="15" t="n">
        <x:f>IF(AND(E50="입력 유효"),AVERAGE(E56,E58),"입력 확인")</x:f>
        <x:v>18000</x:v>
      </x:c>
      <x:c r="F59" s="15" t="n">
        <x:f>IF(AND(F50="입력 유효",ISNUMBER(E58)),AVERAGE(F56,F58),"입력 확인")</x:f>
        <x:v>65250</x:v>
      </x:c>
      <x:c r="G59" s="15" t="n">
        <x:f>IF(AND(G50="입력 유효",ISNUMBER(F58)),AVERAGE(G56,G58),"입력 확인")</x:f>
        <x:v>141750</x:v>
      </x:c>
      <x:c r="H59" s="15" t="n">
        <x:f>IF(AND(H50="입력 유효",ISNUMBER(G58)),AVERAGE(H56,H58),"입력 확인")</x:f>
        <x:v>263250</x:v>
      </x:c>
      <x:c r="I59" s="15" t="n">
        <x:f>IF(AND(I50="입력 유효",ISNUMBER(H58)),AVERAGE(I56,I58),"입력 확인")</x:f>
        <x:v>450000</x:v>
      </x:c>
      <x:c r="J59" s="15" t="n">
        <x:f>IF(AND(J50="입력 유효",ISNUMBER(I58)),AVERAGE(J56,J58),"입력 확인")</x:f>
        <x:v>729000</x:v>
      </x:c>
      <x:c r="K59" s="15" t="n">
        <x:f>IF(AND(K50="입력 유효",ISNUMBER(J58)),AVERAGE(K56,K58),"입력 확인")</x:f>
        <x:v>1134000</x:v>
      </x:c>
      <x:c r="L59" s="15" t="n">
        <x:f>IF(AND(L50="입력 유효",ISNUMBER(K58)),AVERAGE(L56,L58),"입력 확인")</x:f>
        <x:v>1678500</x:v>
      </x:c>
      <x:c r="M59" s="15" t="n">
        <x:f>IF(AND(M50="입력 유효",ISNUMBER(L58)),AVERAGE(M56,M58),"입력 확인")</x:f>
        <x:v>2382750</x:v>
      </x:c>
      <x:c r="N59" s="15" t="n">
        <x:f>IF(AND(N50="입력 유효",ISNUMBER(M58)),AVERAGE(N56,N58),"입력 확인")</x:f>
        <x:v>3273750</x:v>
      </x:c>
      <x:c r="O59" s="2"/>
    </x:row>
    <x:row r="60" ht="24" customHeight="1">
      <x:c r="A60" s="2"/>
      <x:c r="B60" s="2"/>
      <x:c r="C60" s="2" t="str">
        <x:v>기말 실제 가동</x:v>
      </x:c>
      <x:c r="D60" s="2" t="str">
        <x:v>대</x:v>
      </x:c>
      <x:c r="E60" s="15" t="n">
        <x:f>IF(AND(E50="입력 유효"),E58*$E$22,"입력 확인")</x:f>
        <x:v>30600</x:v>
      </x:c>
      <x:c r="F60" s="15" t="n">
        <x:f>IF(AND(F50="입력 유효",ISNUMBER(E58)),F58*$E$22,"입력 확인")</x:f>
        <x:v>80325</x:v>
      </x:c>
      <x:c r="G60" s="15" t="n">
        <x:f>IF(AND(G50="입력 유효",ISNUMBER(F58)),G58*$E$22,"입력 확인")</x:f>
        <x:v>160650</x:v>
      </x:c>
      <x:c r="H60" s="15" t="n">
        <x:f>IF(AND(H50="입력 유효",ISNUMBER(G58)),H58*$E$22,"입력 확인")</x:f>
        <x:v>286875</x:v>
      </x:c>
      <x:c r="I60" s="15" t="n">
        <x:f>IF(AND(I50="입력 유효",ISNUMBER(H58)),I58*$E$22,"입력 확인")</x:f>
        <x:v>478125</x:v>
      </x:c>
      <x:c r="J60" s="15" t="n">
        <x:f>IF(AND(J50="입력 유효",ISNUMBER(I58)),J58*$E$22,"입력 확인")</x:f>
        <x:v>761175</x:v>
      </x:c>
      <x:c r="K60" s="15" t="n">
        <x:f>IF(AND(K50="입력 유효",ISNUMBER(J58)),K58*$E$22,"입력 확인")</x:f>
        <x:v>1166625</x:v>
      </x:c>
      <x:c r="L60" s="15" t="n">
        <x:f>IF(AND(L50="입력 유효",ISNUMBER(K58)),L58*$E$22,"입력 확인")</x:f>
        <x:v>1686825</x:v>
      </x:c>
      <x:c r="M60" s="15" t="n">
        <x:f>IF(AND(M50="입력 유효",ISNUMBER(L58)),M58*$E$22,"입력 확인")</x:f>
        <x:v>2363850</x:v>
      </x:c>
      <x:c r="N60" s="15" t="n">
        <x:f>IF(AND(N50="입력 유효",ISNUMBER(M58)),N58*$E$22,"입력 확인")</x:f>
        <x:v>3201525</x:v>
      </x:c>
      <x:c r="O60" s="2"/>
    </x:row>
    <x:row r="61" ht="24" customHeight="1">
      <x:c r="A61" s="2"/>
      <x:c r="B61" s="2"/>
      <x:c r="C61" s="2" t="str">
        <x:v>기체 ASP</x:v>
      </x:c>
      <x:c r="D61" s="2" t="str">
        <x:v>USD</x:v>
      </x:c>
      <x:c r="E61" s="18" t="n">
        <x:f>IF(AND(E50="입력 유효"),$E$28*(1-$E$33)^(E$53-$E$53),"입력 확인")</x:f>
        <x:v>65000</x:v>
      </x:c>
      <x:c r="F61" s="18" t="n">
        <x:f>IF(AND(F50="입력 유효",ISNUMBER(E58)),$E$28*(1-$E$33)^(F$53-$E$53),"입력 확인")</x:f>
        <x:v>61100</x:v>
      </x:c>
      <x:c r="G61" s="18" t="n">
        <x:f>IF(AND(G50="입력 유효",ISNUMBER(F58)),$E$28*(1-$E$33)^(G$53-$E$53),"입력 확인")</x:f>
        <x:v>57433.99999999999</x:v>
      </x:c>
      <x:c r="H61" s="18" t="n">
        <x:f>IF(AND(H50="입력 유효",ISNUMBER(G58)),$E$28*(1-$E$33)^(H$53-$E$53),"입력 확인")</x:f>
        <x:v>53987.95999999999</x:v>
      </x:c>
      <x:c r="I61" s="18" t="n">
        <x:f>IF(AND(I50="입력 유효",ISNUMBER(H58)),$E$28*(1-$E$33)^(I$53-$E$53),"입력 확인")</x:f>
        <x:v>50748.68239999999</x:v>
      </x:c>
      <x:c r="J61" s="18" t="n">
        <x:f>IF(AND(J50="입력 유효",ISNUMBER(I58)),$E$28*(1-$E$33)^(J$53-$E$53),"입력 확인")</x:f>
        <x:v>47703.761455999986</x:v>
      </x:c>
      <x:c r="K61" s="18" t="n">
        <x:f>IF(AND(K50="입력 유효",ISNUMBER(J58)),$E$28*(1-$E$33)^(K$53-$E$53),"입력 확인")</x:f>
        <x:v>44841.53576863998</x:v>
      </x:c>
      <x:c r="L61" s="18" t="n">
        <x:f>IF(AND(L50="입력 유효",ISNUMBER(K58)),$E$28*(1-$E$33)^(L$53-$E$53),"입력 확인")</x:f>
        <x:v>42151.04362252158</x:v>
      </x:c>
      <x:c r="M61" s="18" t="n">
        <x:f>IF(AND(M50="입력 유효",ISNUMBER(L58)),$E$28*(1-$E$33)^(M$53-$E$53),"입력 확인")</x:f>
        <x:v>39621.98100517028</x:v>
      </x:c>
      <x:c r="N61" s="18" t="n">
        <x:f>IF(AND(N50="입력 유효",ISNUMBER(M58)),$E$28*(1-$E$33)^(N$53-$E$53),"입력 확인")</x:f>
        <x:v>37244.66214486007</x:v>
      </x:c>
      <x:c r="O61" s="2"/>
    </x:row>
    <x:row r="62" ht="24" customHeight="1">
      <x:c r="A62" s="2"/>
      <x:c r="B62" s="2"/>
      <x:c r="C62" s="2" t="str">
        <x:v>완성체 매출</x:v>
      </x:c>
      <x:c r="D62" s="2" t="str">
        <x:v>USD</x:v>
      </x:c>
      <x:c r="E62" s="18" t="n">
        <x:f>IF(AND(E50="입력 유효"),E54*E61,"입력 확인")</x:f>
        <x:v>2600000000</x:v>
      </x:c>
      <x:c r="F62" s="18" t="n">
        <x:f>IF(AND(F50="입력 유효",ISNUMBER(E58)),F54*F61,"입력 확인")</x:f>
        <x:v>3971500000</x:v>
      </x:c>
      <x:c r="G62" s="18" t="n">
        <x:f>IF(AND(G50="입력 유효",ISNUMBER(F58)),G54*G61,"입력 확인")</x:f>
        <x:v>6030569999.999999</x:v>
      </x:c>
      <x:c r="H62" s="18" t="n">
        <x:f>IF(AND(H50="입력 유효",ISNUMBER(G58)),H54*H61,"입력 확인")</x:f>
        <x:v>8908013399.999998</x:v>
      </x:c>
      <x:c r="I62" s="18" t="n">
        <x:f>IF(AND(I50="입력 유효",ISNUMBER(H58)),I54*I61,"입력 확인")</x:f>
        <x:v>12687170599.999998</x:v>
      </x:c>
      <x:c r="J62" s="18" t="n">
        <x:f>IF(AND(J50="입력 유효",ISNUMBER(I58)),J54*J61,"입력 확인")</x:f>
        <x:v>17650391738.719994</x:v>
      </x:c>
      <x:c r="K62" s="18" t="n">
        <x:f>IF(AND(K50="입력 유효",ISNUMBER(J58)),K54*K61,"입력 확인")</x:f>
        <x:v>23766013957.37919</x:v>
      </x:c>
      <x:c r="L62" s="18" t="n">
        <x:f>IF(AND(L50="입력 유효",ISNUMBER(K58)),L54*L61,"입력 확인")</x:f>
        <x:v>30348751408.215538</x:v>
      </x:c>
      <x:c r="M62" s="18" t="n">
        <x:f>IF(AND(M50="입력 유효",ISNUMBER(L58)),M54*M61,"입력 확인")</x:f>
        <x:v>37640881954.911766</x:v>
      </x:c>
      <x:c r="N62" s="18" t="n">
        <x:f>IF(AND(N50="입력 유효",ISNUMBER(M58)),N54*N61,"입력 확인")</x:f>
        <x:v>44693594573.832085</x:v>
      </x:c>
      <x:c r="O62" s="2"/>
    </x:row>
    <x:row r="63" ht="24" customHeight="1">
      <x:c r="A63" s="2"/>
      <x:c r="B63" s="2"/>
      <x:c r="C63" s="2" t="str">
        <x:v>서비스 매출</x:v>
      </x:c>
      <x:c r="D63" s="2" t="str">
        <x:v>USD</x:v>
      </x:c>
      <x:c r="E63" s="18" t="n">
        <x:f>IF(AND(E50="입력 유효"),E59*$E$22*$E$23*$E$38,"입력 확인")</x:f>
        <x:v>36720000</x:v>
      </x:c>
      <x:c r="F63" s="18" t="n">
        <x:f>IF(AND(F50="입력 유효",ISNUMBER(E58)),F59*$E$22*$E$23*$E$38,"입력 확인")</x:f>
        <x:v>133110000</x:v>
      </x:c>
      <x:c r="G63" s="18" t="n">
        <x:f>IF(AND(G50="입력 유효",ISNUMBER(F58)),G59*$E$22*$E$23*$E$38,"입력 확인")</x:f>
        <x:v>289170000</x:v>
      </x:c>
      <x:c r="H63" s="18" t="n">
        <x:f>IF(AND(H50="입력 유효",ISNUMBER(G58)),H59*$E$22*$E$23*$E$38,"입력 확인")</x:f>
        <x:v>537030000</x:v>
      </x:c>
      <x:c r="I63" s="18" t="n">
        <x:f>IF(AND(I50="입력 유효",ISNUMBER(H58)),I59*$E$22*$E$23*$E$38,"입력 확인")</x:f>
        <x:v>918000000</x:v>
      </x:c>
      <x:c r="J63" s="18" t="n">
        <x:f>IF(AND(J50="입력 유효",ISNUMBER(I58)),J59*$E$22*$E$23*$E$38,"입력 확인")</x:f>
        <x:v>1487160000</x:v>
      </x:c>
      <x:c r="K63" s="18" t="n">
        <x:f>IF(AND(K50="입력 유효",ISNUMBER(J58)),K59*$E$22*$E$23*$E$38,"입력 확인")</x:f>
        <x:v>2313360000</x:v>
      </x:c>
      <x:c r="L63" s="18" t="n">
        <x:f>IF(AND(L50="입력 유효",ISNUMBER(K58)),L59*$E$22*$E$23*$E$38,"입력 확인")</x:f>
        <x:v>3424140000</x:v>
      </x:c>
      <x:c r="M63" s="18" t="n">
        <x:f>IF(AND(M50="입력 유효",ISNUMBER(L58)),M59*$E$22*$E$23*$E$38,"입력 확인")</x:f>
        <x:v>4860810000</x:v>
      </x:c>
      <x:c r="N63" s="18" t="n">
        <x:f>IF(AND(N50="입력 유효",ISNUMBER(M58)),N59*$E$22*$E$23*$E$38,"입력 확인")</x:f>
        <x:v>6678450000</x:v>
      </x:c>
      <x:c r="O63" s="2"/>
    </x:row>
    <x:row r="64" ht="24" customHeight="1">
      <x:c r="A64" s="2"/>
      <x:c r="B64" s="2"/>
      <x:c r="C64" s="2" t="str">
        <x:v>최종고객 시장 매출 합계</x:v>
      </x:c>
      <x:c r="D64" s="2" t="str">
        <x:v>USD</x:v>
      </x:c>
      <x:c r="E64" s="18" t="n">
        <x:f>IF(AND(E50="입력 유효"),SUM(E62:E63),"입력 확인")</x:f>
        <x:v>2636720000</x:v>
      </x:c>
      <x:c r="F64" s="18" t="n">
        <x:f>IF(AND(F50="입력 유효",ISNUMBER(E58)),SUM(F62:F63),"입력 확인")</x:f>
        <x:v>4104610000</x:v>
      </x:c>
      <x:c r="G64" s="18" t="n">
        <x:f>IF(AND(G50="입력 유효",ISNUMBER(F58)),SUM(G62:G63),"입력 확인")</x:f>
        <x:v>6319739999.999999</x:v>
      </x:c>
      <x:c r="H64" s="18" t="n">
        <x:f>IF(AND(H50="입력 유효",ISNUMBER(G58)),SUM(H62:H63),"입력 확인")</x:f>
        <x:v>9445043399.999998</x:v>
      </x:c>
      <x:c r="I64" s="18" t="n">
        <x:f>IF(AND(I50="입력 유효",ISNUMBER(H58)),SUM(I62:I63),"입력 확인")</x:f>
        <x:v>13605170599.999998</x:v>
      </x:c>
      <x:c r="J64" s="18" t="n">
        <x:f>IF(AND(J50="입력 유효",ISNUMBER(I58)),SUM(J62:J63),"입력 확인")</x:f>
        <x:v>19137551738.719994</x:v>
      </x:c>
      <x:c r="K64" s="18" t="n">
        <x:f>IF(AND(K50="입력 유효",ISNUMBER(J58)),SUM(K62:K63),"입력 확인")</x:f>
        <x:v>26079373957.37919</x:v>
      </x:c>
      <x:c r="L64" s="18" t="n">
        <x:f>IF(AND(L50="입력 유효",ISNUMBER(K58)),SUM(L62:L63),"입력 확인")</x:f>
        <x:v>33772891408.215538</x:v>
      </x:c>
      <x:c r="M64" s="18" t="n">
        <x:f>IF(AND(M50="입력 유효",ISNUMBER(L58)),SUM(M62:M63),"입력 확인")</x:f>
        <x:v>42501691954.911766</x:v>
      </x:c>
      <x:c r="N64" s="18" t="n">
        <x:f>IF(AND(N50="입력 유효",ISNUMBER(M58)),SUM(N62:N63),"입력 확인")</x:f>
        <x:v>51372044573.832085</x:v>
      </x:c>
      <x:c r="O64" s="2"/>
    </x:row>
    <x:row r="65" ht="24" customHeight="1">
      <x:c r="A65" s="2"/>
      <x:c r="B65" s="2"/>
      <x:c r="C65" s="2"/>
      <x:c r="D65" s="2"/>
      <x:c r="E65" s="2"/>
      <x:c r="F65" s="2"/>
      <x:c r="G65" s="2"/>
      <x:c r="H65" s="2"/>
      <x:c r="I65" s="2"/>
      <x:c r="J65" s="2"/>
      <x:c r="K65" s="2"/>
      <x:c r="L65" s="2"/>
      <x:c r="M65" s="2"/>
      <x:c r="N65" s="2"/>
      <x:c r="O65" s="2"/>
    </x:row>
    <x:row r="66" ht="24" customHeight="1">
      <x:c r="A66" s="2"/>
      <x:c r="B66" s="2"/>
      <x:c r="C66" s="2"/>
      <x:c r="D66" s="2"/>
      <x:c r="E66" s="2"/>
      <x:c r="F66" s="2"/>
      <x:c r="G66" s="2"/>
      <x:c r="H66" s="2"/>
      <x:c r="I66" s="2"/>
      <x:c r="J66" s="2"/>
      <x:c r="K66" s="2"/>
      <x:c r="L66" s="2"/>
      <x:c r="M66" s="2"/>
      <x:c r="N66" s="2"/>
      <x:c r="O66" s="2"/>
    </x:row>
    <x:row r="67" ht="24" customHeight="1">
      <x:c r="A67" s="2"/>
      <x:c r="B67" s="2"/>
      <x:c r="C67" s="2"/>
      <x:c r="D67" s="2"/>
      <x:c r="E67" s="2"/>
      <x:c r="F67" s="2"/>
      <x:c r="G67" s="2"/>
      <x:c r="H67" s="2"/>
      <x:c r="I67" s="2"/>
      <x:c r="J67" s="2"/>
      <x:c r="K67" s="2"/>
      <x:c r="L67" s="2"/>
      <x:c r="M67" s="2"/>
      <x:c r="N67" s="2"/>
      <x:c r="O67" s="2"/>
    </x:row>
    <x:row r="68" ht="24" customHeight="1">
      <x:c r="A68" s="2"/>
      <x:c r="B68" s="2"/>
      <x:c r="C68" s="2"/>
      <x:c r="D68" s="2"/>
      <x:c r="E68" s="2"/>
      <x:c r="F68" s="2"/>
      <x:c r="G68" s="2"/>
      <x:c r="H68" s="2"/>
      <x:c r="I68" s="2"/>
      <x:c r="J68" s="2"/>
      <x:c r="K68" s="2"/>
      <x:c r="L68" s="2"/>
      <x:c r="M68" s="2"/>
      <x:c r="N68" s="2"/>
      <x:c r="O68" s="2"/>
    </x:row>
    <x:row r="69" ht="34" customHeight="1">
      <x:c r="A69" s="2"/>
      <x:c r="B69" s="2"/>
      <x:c r="C69" s="8" t="str">
        <x:v>미국 작업 기반 추정</x:v>
      </x:c>
      <x:c r="D69" s="8" t="str">
        <x:v>원 고용인원</x:v>
      </x:c>
      <x:c r="E69" s="8" t="str">
        <x:v>적합 작업 비중</x:v>
      </x:c>
      <x:c r="F69" s="8" t="str">
        <x:v>경제성 통과</x:v>
      </x:c>
      <x:c r="G69" s="8" t="str">
        <x:v>2030 보급률</x:v>
      </x:c>
      <x:c r="H69" s="8" t="str">
        <x:v>2035 보급률</x:v>
      </x:c>
      <x:c r="I69" s="8" t="str">
        <x:v>로봇당 일자리 상당</x:v>
      </x:c>
      <x:c r="J69" s="8" t="str">
        <x:v>2030 설치</x:v>
      </x:c>
      <x:c r="K69" s="8" t="str">
        <x:v>2035 설치</x:v>
      </x:c>
      <x:c r="L69" s="2"/>
      <x:c r="M69" s="2"/>
      <x:c r="N69" s="2"/>
      <x:c r="O69" s="2"/>
    </x:row>
    <x:row r="70" ht="24" customHeight="1">
      <x:c r="A70" s="2"/>
      <x:c r="B70" s="2"/>
      <x:c r="C70" s="2" t="str">
        <x:v>조립·제작</x:v>
      </x:c>
      <x:c r="D70" s="29" t="n">
        <x:v>1799500</x:v>
      </x:c>
      <x:c r="E70" s="31" t="n">
        <x:v>0.15</x:v>
      </x:c>
      <x:c r="F70" s="31" t="n">
        <x:v>0.5</x:v>
      </x:c>
      <x:c r="G70" s="31" t="n">
        <x:v>0.1</x:v>
      </x:c>
      <x:c r="H70" s="31" t="n">
        <x:v>0.35</x:v>
      </x:c>
      <x:c r="I70" s="29" t="n">
        <x:v>0.8</x:v>
      </x:c>
      <x:c r="J70" s="15" t="n">
        <x:f>IF(AND(COUNT(D70:I70)=6,MIN(D70:I70)&gt;=0,I70&gt;0,MAX(E70:H70)&lt;=1),D70*E70*F70*G70/I70,"입력 확인")</x:f>
        <x:v>16870.3125</x:v>
      </x:c>
      <x:c r="K70" s="15" t="n">
        <x:f>IF(AND(COUNT(D70:I70)=6,MIN(D70:I70)&gt;=0,I70&gt;0,MAX(E70:H70)&lt;=1),D70*E70*F70*H70/I70,"입력 확인")</x:f>
        <x:v>59046.09375</x:v>
      </x:c>
      <x:c r="L70" s="2"/>
      <x:c r="M70" s="2"/>
      <x:c r="N70" s="2"/>
      <x:c r="O70" s="2"/>
    </x:row>
    <x:row r="71" ht="24" customHeight="1">
      <x:c r="A71" s="2"/>
      <x:c r="B71" s="2"/>
      <x:c r="C71" s="2" t="str">
        <x:v>수작업 화물·재고 이동</x:v>
      </x:c>
      <x:c r="D71" s="29" t="n">
        <x:v>2940300</x:v>
      </x:c>
      <x:c r="E71" s="31" t="n">
        <x:v>0.2</x:v>
      </x:c>
      <x:c r="F71" s="31" t="n">
        <x:v>0.5</x:v>
      </x:c>
      <x:c r="G71" s="31" t="n">
        <x:v>0.1</x:v>
      </x:c>
      <x:c r="H71" s="31" t="n">
        <x:v>0.35</x:v>
      </x:c>
      <x:c r="I71" s="29" t="n">
        <x:v>0.8</x:v>
      </x:c>
      <x:c r="J71" s="15" t="n">
        <x:f>IF(AND(COUNT(D71:I71)=6,MIN(D71:I71)&gt;=0,I71&gt;0,MAX(E71:H71)&lt;=1),D71*E71*F71*G71/I71,"입력 확인")</x:f>
        <x:v>36753.75</x:v>
      </x:c>
      <x:c r="K71" s="15" t="n">
        <x:f>IF(AND(COUNT(D71:I71)=6,MIN(D71:I71)&gt;=0,I71&gt;0,MAX(E71:H71)&lt;=1),D71*E71*F71*H71/I71,"입력 확인")</x:f>
        <x:v>128638.125</x:v>
      </x:c>
      <x:c r="L71" s="2"/>
      <x:c r="M71" s="2"/>
      <x:c r="N71" s="2"/>
      <x:c r="O71" s="2"/>
    </x:row>
    <x:row r="72" ht="24" customHeight="1">
      <x:c r="A72" s="2"/>
      <x:c r="B72" s="2"/>
      <x:c r="C72" s="2" t="str">
        <x:v>청소원·건물 청소</x:v>
      </x:c>
      <x:c r="D72" s="29" t="n">
        <x:v>2432600</x:v>
      </x:c>
      <x:c r="E72" s="31" t="n">
        <x:v>0.1</x:v>
      </x:c>
      <x:c r="F72" s="31" t="n">
        <x:v>0.3</x:v>
      </x:c>
      <x:c r="G72" s="31" t="n">
        <x:v>0.05</x:v>
      </x:c>
      <x:c r="H72" s="31" t="n">
        <x:v>0.2</x:v>
      </x:c>
      <x:c r="I72" s="29" t="n">
        <x:v>0.7</x:v>
      </x:c>
      <x:c r="J72" s="15" t="n">
        <x:f>IF(AND(COUNT(D72:I72)=6,MIN(D72:I72)&gt;=0,I72&gt;0,MAX(E72:H72)&lt;=1),D72*E72*F72*G72/I72,"입력 확인")</x:f>
        <x:v>5212.714285714286</x:v>
      </x:c>
      <x:c r="K72" s="15" t="n">
        <x:f>IF(AND(COUNT(D72:I72)=6,MIN(D72:I72)&gt;=0,I72&gt;0,MAX(E72:H72)&lt;=1),D72*E72*F72*H72/I72,"입력 확인")</x:f>
        <x:v>20850.857142857145</x:v>
      </x:c>
      <x:c r="L72" s="2"/>
      <x:c r="M72" s="2"/>
      <x:c r="N72" s="2"/>
      <x:c r="O72" s="2"/>
    </x:row>
    <x:row r="73" ht="24" customHeight="1">
      <x:c r="A73" s="2"/>
      <x:c r="B73" s="2"/>
      <x:c r="C73" s="2" t="str">
        <x:v>위 세 직군 합계</x:v>
      </x:c>
      <x:c r="D73" s="15" t="n">
        <x:f>IF(COUNT(D70:D72)=3,SUM(D70:D72),"입력 확인")</x:f>
        <x:v>7172400</x:v>
      </x:c>
      <x:c r="E73" s="2"/>
      <x:c r="F73" s="2"/>
      <x:c r="G73" s="2"/>
      <x:c r="H73" s="2"/>
      <x:c r="I73" s="2"/>
      <x:c r="J73" s="15" t="n">
        <x:f>IF(COUNT(J70:J72)=3,SUM(J70:J72),"입력 확인")</x:f>
        <x:v>58836.77678571429</x:v>
      </x:c>
      <x:c r="K73" s="15" t="n">
        <x:f>IF(COUNT(K70:K72)=3,SUM(K70:K72),"입력 확인")</x:f>
        <x:v>208535.07589285716</x:v>
      </x:c>
      <x:c r="L73" s="2"/>
      <x:c r="M73" s="2"/>
      <x:c r="N73" s="2"/>
      <x:c r="O73" s="2"/>
    </x:row>
    <x:row r="74" ht="24" customHeight="1">
      <x:c r="A74" s="2"/>
      <x:c r="B74" s="2"/>
      <x:c r="C74" s="2"/>
      <x:c r="D74" s="2"/>
      <x:c r="E74" s="2"/>
      <x:c r="F74" s="2"/>
      <x:c r="G74" s="2"/>
      <x:c r="H74" s="2"/>
      <x:c r="I74" s="2"/>
      <x:c r="J74" s="2"/>
      <x:c r="K74" s="2"/>
      <x:c r="L74" s="2"/>
      <x:c r="M74" s="2"/>
      <x:c r="N74" s="2"/>
      <x:c r="O74" s="2"/>
    </x:row>
    <x:row r="75" ht="24" customHeight="1">
      <x:c r="A75" s="2"/>
      <x:c r="B75" s="2"/>
      <x:c r="C75" s="4" t="str">
        <x:v>고용 원자료 조립·제작: https://www.bls.gov/ooh/production/assemblers-and-fabricators.htm</x:v>
      </x:c>
      <x:c r="D75" s="2"/>
      <x:c r="E75" s="2"/>
      <x:c r="F75" s="2"/>
      <x:c r="G75" s="2"/>
      <x:c r="H75" s="2"/>
      <x:c r="I75" s="2"/>
      <x:c r="J75" s="2"/>
      <x:c r="K75" s="2"/>
      <x:c r="L75" s="2"/>
      <x:c r="M75" s="2"/>
      <x:c r="N75" s="2"/>
      <x:c r="O75" s="2"/>
    </x:row>
    <x:row r="76" ht="24" customHeight="1">
      <x:c r="A76" s="2"/>
      <x:c r="B76" s="2"/>
      <x:c r="C76" s="4" t="str">
        <x:v>고용 원자료 수작업 화물·재고 이동: https://www.bls.gov/ooh/transportation-and-material-moving/hand-laborers-and-material-movers.htm</x:v>
      </x:c>
      <x:c r="D76" s="2"/>
      <x:c r="E76" s="2"/>
      <x:c r="F76" s="2"/>
      <x:c r="G76" s="2"/>
      <x:c r="H76" s="2"/>
      <x:c r="I76" s="2"/>
      <x:c r="J76" s="2"/>
      <x:c r="K76" s="2"/>
      <x:c r="L76" s="2"/>
      <x:c r="M76" s="2"/>
      <x:c r="N76" s="2"/>
      <x:c r="O76" s="2"/>
    </x:row>
    <x:row r="77" ht="24" customHeight="1">
      <x:c r="A77" s="2"/>
      <x:c r="B77" s="2"/>
      <x:c r="C77" s="4" t="str">
        <x:v>고용 원자료 청소원·건물 청소: https://www.bls.gov/ooh/building-and-grounds-cleaning/janitors-and-building-cleaners.htm</x:v>
      </x:c>
      <x:c r="D77" s="2"/>
      <x:c r="E77" s="2"/>
      <x:c r="F77" s="2"/>
      <x:c r="G77" s="2"/>
      <x:c r="H77" s="2"/>
      <x:c r="I77" s="2"/>
      <x:c r="J77" s="2"/>
      <x:c r="K77" s="2"/>
      <x:c r="L77" s="2"/>
      <x:c r="M77" s="2"/>
      <x:c r="N77" s="2"/>
      <x:c r="O77" s="2"/>
    </x:row>
    <x:row r="78" ht="24" customHeight="1">
      <x:c r="A78" s="2"/>
      <x:c r="B78" s="2"/>
      <x:c r="C78" s="4" t="str">
        <x:v>미국 직군 예시는 세계 전망에 합산하지 않습니다. 부품 매출은 완성체 매출에 다시 더하지 않습니다.</x:v>
      </x:c>
      <x:c r="D78" s="2"/>
      <x:c r="E78" s="2"/>
      <x:c r="F78" s="2"/>
      <x:c r="G78" s="2"/>
      <x:c r="H78" s="2"/>
      <x:c r="I78" s="2"/>
      <x:c r="J78" s="2"/>
      <x:c r="K78" s="2"/>
      <x:c r="L78" s="2"/>
      <x:c r="M78" s="2"/>
      <x:c r="N78" s="2"/>
      <x:c r="O78" s="2"/>
    </x:row>
    <x:row r="79" ht="24" customHeight="1">
      <x:c r="A79" s="2"/>
      <x:c r="B79" s="2"/>
      <x:c r="C79" s="2"/>
      <x:c r="D79" s="2"/>
      <x:c r="E79" s="2"/>
      <x:c r="F79" s="2"/>
      <x:c r="G79" s="2"/>
      <x:c r="H79" s="2"/>
      <x:c r="I79" s="2"/>
      <x:c r="J79" s="2"/>
      <x:c r="K79" s="2"/>
      <x:c r="L79" s="2"/>
      <x:c r="M79" s="2"/>
      <x:c r="N79" s="2"/>
      <x:c r="O79" s="2"/>
    </x:row>
    <x:row r="80" ht="24" customHeight="1">
      <x:c r="A80" s="2"/>
      <x:c r="B80" s="2"/>
      <x:c r="C80" s="2"/>
      <x:c r="D80" s="2"/>
      <x:c r="E80" s="2"/>
      <x:c r="F80" s="2"/>
      <x:c r="G80" s="2"/>
      <x:c r="H80" s="2"/>
      <x:c r="I80" s="2"/>
      <x:c r="J80" s="2"/>
      <x:c r="K80" s="2"/>
      <x:c r="L80" s="2"/>
      <x:c r="M80" s="2"/>
      <x:c r="N80" s="2"/>
      <x:c r="O80" s="2"/>
    </x:row>
    <x:row r="81" ht="34" customHeight="1">
      <x:c r="A81" s="2"/>
      <x:c r="B81" s="2"/>
      <x:c r="C81" s="2"/>
      <x:c r="D81" s="2"/>
      <x:c r="E81" s="2"/>
      <x:c r="F81" s="2"/>
      <x:c r="G81" s="2"/>
      <x:c r="H81" s="2"/>
      <x:c r="I81" s="2"/>
      <x:c r="J81" s="2"/>
      <x:c r="K81" s="2"/>
      <x:c r="L81" s="2"/>
      <x:c r="M81" s="8" t="str">
        <x:v>연도</x:v>
      </x:c>
      <x:c r="N81" s="8" t="str">
        <x:v>설치 대수</x:v>
      </x:c>
      <x:c r="O81" s="8" t="str">
        <x:v>실제 가동</x:v>
      </x:c>
    </x:row>
    <x:row r="82" ht="24" customHeight="1">
      <x:c r="A82" s="2"/>
      <x:c r="B82" s="2"/>
      <x:c r="C82" s="2"/>
      <x:c r="D82" s="2"/>
      <x:c r="E82" s="2"/>
      <x:c r="F82" s="2"/>
      <x:c r="G82" s="2"/>
      <x:c r="H82" s="2"/>
      <x:c r="I82" s="2"/>
      <x:c r="J82" s="2"/>
      <x:c r="K82" s="2"/>
      <x:c r="L82" s="2"/>
      <x:c r="M82" s="2" t="str">
        <x:v>2026</x:v>
      </x:c>
      <x:c r="N82" s="15" t="n">
        <x:f>E58</x:f>
        <x:v>36000</x:v>
      </x:c>
      <x:c r="O82" s="15" t="n">
        <x:f>E60</x:f>
        <x:v>30600</x:v>
      </x:c>
    </x:row>
    <x:row r="83" ht="24" customHeight="1">
      <x:c r="A83" s="2"/>
      <x:c r="B83" s="2"/>
      <x:c r="C83" s="2"/>
      <x:c r="D83" s="2"/>
      <x:c r="E83" s="2"/>
      <x:c r="F83" s="2"/>
      <x:c r="G83" s="2"/>
      <x:c r="H83" s="2"/>
      <x:c r="I83" s="2"/>
      <x:c r="J83" s="2"/>
      <x:c r="K83" s="2"/>
      <x:c r="L83" s="2"/>
      <x:c r="M83" s="2" t="str">
        <x:v>2027</x:v>
      </x:c>
      <x:c r="N83" s="15" t="n">
        <x:f>F58</x:f>
        <x:v>94500</x:v>
      </x:c>
      <x:c r="O83" s="15" t="n">
        <x:f>F60</x:f>
        <x:v>80325</x:v>
      </x:c>
    </x:row>
    <x:row r="84" ht="24" customHeight="1">
      <x:c r="A84" s="2"/>
      <x:c r="B84" s="2"/>
      <x:c r="C84" s="2"/>
      <x:c r="D84" s="2"/>
      <x:c r="E84" s="2"/>
      <x:c r="F84" s="2"/>
      <x:c r="G84" s="2"/>
      <x:c r="H84" s="2"/>
      <x:c r="I84" s="2"/>
      <x:c r="J84" s="2"/>
      <x:c r="K84" s="2"/>
      <x:c r="L84" s="2"/>
      <x:c r="M84" s="2" t="str">
        <x:v>2028</x:v>
      </x:c>
      <x:c r="N84" s="15" t="n">
        <x:f>G58</x:f>
        <x:v>189000</x:v>
      </x:c>
      <x:c r="O84" s="15" t="n">
        <x:f>G60</x:f>
        <x:v>160650</x:v>
      </x:c>
    </x:row>
    <x:row r="85" ht="24" customHeight="1">
      <x:c r="A85" s="2"/>
      <x:c r="B85" s="2"/>
      <x:c r="C85" s="2"/>
      <x:c r="D85" s="2"/>
      <x:c r="E85" s="2"/>
      <x:c r="F85" s="2"/>
      <x:c r="G85" s="2"/>
      <x:c r="H85" s="2"/>
      <x:c r="I85" s="2"/>
      <x:c r="J85" s="2"/>
      <x:c r="K85" s="2"/>
      <x:c r="L85" s="2"/>
      <x:c r="M85" s="2" t="str">
        <x:v>2029</x:v>
      </x:c>
      <x:c r="N85" s="15" t="n">
        <x:f>H58</x:f>
        <x:v>337500</x:v>
      </x:c>
      <x:c r="O85" s="15" t="n">
        <x:f>H60</x:f>
        <x:v>286875</x:v>
      </x:c>
    </x:row>
    <x:row r="86" ht="24" customHeight="1">
      <x:c r="A86" s="2"/>
      <x:c r="B86" s="2"/>
      <x:c r="C86" s="2"/>
      <x:c r="D86" s="2"/>
      <x:c r="E86" s="2"/>
      <x:c r="F86" s="2"/>
      <x:c r="G86" s="2"/>
      <x:c r="H86" s="2"/>
      <x:c r="I86" s="2"/>
      <x:c r="J86" s="2"/>
      <x:c r="K86" s="2"/>
      <x:c r="L86" s="2"/>
      <x:c r="M86" s="2" t="str">
        <x:v>2030</x:v>
      </x:c>
      <x:c r="N86" s="15" t="n">
        <x:f>I58</x:f>
        <x:v>562500</x:v>
      </x:c>
      <x:c r="O86" s="15" t="n">
        <x:f>I60</x:f>
        <x:v>478125</x:v>
      </x:c>
    </x:row>
    <x:row r="87" ht="24" customHeight="1">
      <x:c r="A87" s="2"/>
      <x:c r="B87" s="2"/>
      <x:c r="C87" s="2"/>
      <x:c r="D87" s="2"/>
      <x:c r="E87" s="2"/>
      <x:c r="F87" s="2"/>
      <x:c r="G87" s="2"/>
      <x:c r="H87" s="2"/>
      <x:c r="I87" s="2"/>
      <x:c r="J87" s="2"/>
      <x:c r="K87" s="2"/>
      <x:c r="L87" s="2"/>
      <x:c r="M87" s="2" t="str">
        <x:v>2031</x:v>
      </x:c>
      <x:c r="N87" s="15" t="n">
        <x:f>J58</x:f>
        <x:v>895500</x:v>
      </x:c>
      <x:c r="O87" s="15" t="n">
        <x:f>J60</x:f>
        <x:v>761175</x:v>
      </x:c>
    </x:row>
    <x:row r="88" ht="24" customHeight="1">
      <x:c r="A88" s="2"/>
      <x:c r="B88" s="2"/>
      <x:c r="C88" s="2"/>
      <x:c r="D88" s="2"/>
      <x:c r="E88" s="2"/>
      <x:c r="F88" s="2"/>
      <x:c r="G88" s="2"/>
      <x:c r="H88" s="2"/>
      <x:c r="I88" s="2"/>
      <x:c r="J88" s="2"/>
      <x:c r="K88" s="2"/>
      <x:c r="L88" s="2"/>
      <x:c r="M88" s="2" t="str">
        <x:v>2032</x:v>
      </x:c>
      <x:c r="N88" s="15" t="n">
        <x:f>K58</x:f>
        <x:v>1372500</x:v>
      </x:c>
      <x:c r="O88" s="15" t="n">
        <x:f>K60</x:f>
        <x:v>1166625</x:v>
      </x:c>
    </x:row>
    <x:row r="89" ht="24" customHeight="1">
      <x:c r="A89" s="2"/>
      <x:c r="B89" s="2"/>
      <x:c r="C89" s="2"/>
      <x:c r="D89" s="2"/>
      <x:c r="E89" s="2"/>
      <x:c r="F89" s="2"/>
      <x:c r="G89" s="2"/>
      <x:c r="H89" s="2"/>
      <x:c r="I89" s="2"/>
      <x:c r="J89" s="2"/>
      <x:c r="K89" s="2"/>
      <x:c r="L89" s="2"/>
      <x:c r="M89" s="2" t="str">
        <x:v>2033</x:v>
      </x:c>
      <x:c r="N89" s="15" t="n">
        <x:f>L58</x:f>
        <x:v>1984500</x:v>
      </x:c>
      <x:c r="O89" s="15" t="n">
        <x:f>L60</x:f>
        <x:v>1686825</x:v>
      </x:c>
    </x:row>
    <x:row r="90" ht="24" customHeight="1">
      <x:c r="A90" s="2"/>
      <x:c r="B90" s="2"/>
      <x:c r="C90" s="2"/>
      <x:c r="D90" s="2"/>
      <x:c r="E90" s="2"/>
      <x:c r="F90" s="2"/>
      <x:c r="G90" s="2"/>
      <x:c r="H90" s="2"/>
      <x:c r="I90" s="2"/>
      <x:c r="J90" s="2"/>
      <x:c r="K90" s="2"/>
      <x:c r="L90" s="2"/>
      <x:c r="M90" s="2" t="str">
        <x:v>2034</x:v>
      </x:c>
      <x:c r="N90" s="15" t="n">
        <x:f>M58</x:f>
        <x:v>2781000</x:v>
      </x:c>
      <x:c r="O90" s="15" t="n">
        <x:f>M60</x:f>
        <x:v>2363850</x:v>
      </x:c>
    </x:row>
    <x:row r="91" ht="24" customHeight="1">
      <x:c r="A91" s="2"/>
      <x:c r="B91" s="2"/>
      <x:c r="C91" s="2"/>
      <x:c r="D91" s="2"/>
      <x:c r="E91" s="2"/>
      <x:c r="F91" s="2"/>
      <x:c r="G91" s="2"/>
      <x:c r="H91" s="2"/>
      <x:c r="I91" s="2"/>
      <x:c r="J91" s="2"/>
      <x:c r="K91" s="2"/>
      <x:c r="L91" s="2"/>
      <x:c r="M91" s="2" t="str">
        <x:v>2035</x:v>
      </x:c>
      <x:c r="N91" s="15" t="n">
        <x:f>N58</x:f>
        <x:v>3766500</x:v>
      </x:c>
      <x:c r="O91" s="15" t="n">
        <x:f>N60</x:f>
        <x:v>3201525</x:v>
      </x:c>
    </x:row>
    <x:row r="92" ht="24" customHeight="1">
      <x:c r="A92" s="2"/>
      <x:c r="B92" s="2"/>
      <x:c r="C92" s="2"/>
      <x:c r="D92" s="2"/>
      <x:c r="E92" s="2"/>
      <x:c r="F92" s="2"/>
      <x:c r="G92" s="2"/>
      <x:c r="H92" s="2"/>
      <x:c r="I92" s="2"/>
      <x:c r="J92" s="2"/>
      <x:c r="K92" s="2"/>
      <x:c r="L92" s="2"/>
      <x:c r="M92" s="2"/>
      <x:c r="N92" s="2"/>
      <x:c r="O92" s="2"/>
    </x:row>
    <x:row r="93" ht="24" customHeight="1">
      <x:c r="A93" s="2"/>
      <x:c r="B93" s="2"/>
      <x:c r="C93" s="2"/>
      <x:c r="D93" s="2"/>
      <x:c r="E93" s="2"/>
      <x:c r="F93" s="2"/>
      <x:c r="G93" s="2"/>
      <x:c r="H93" s="2"/>
      <x:c r="I93" s="2"/>
      <x:c r="J93" s="2"/>
      <x:c r="K93" s="2"/>
      <x:c r="L93" s="2"/>
      <x:c r="M93" s="2"/>
      <x:c r="N93" s="2"/>
      <x:c r="O93" s="2"/>
    </x:row>
    <x:row r="94" ht="24" customHeight="1">
      <x:c r="A94" s="2"/>
      <x:c r="B94" s="2"/>
      <x:c r="C94" s="2"/>
      <x:c r="D94" s="2"/>
      <x:c r="E94" s="2"/>
      <x:c r="F94" s="2"/>
      <x:c r="G94" s="2"/>
      <x:c r="H94" s="2"/>
      <x:c r="I94" s="2"/>
      <x:c r="J94" s="2"/>
      <x:c r="K94" s="2"/>
      <x:c r="L94" s="2"/>
      <x:c r="M94" s="2"/>
      <x:c r="N94" s="2"/>
      <x:c r="O94" s="2"/>
    </x:row>
    <x:row r="95" ht="24" customHeight="1">
      <x:c r="A95" s="2"/>
      <x:c r="B95" s="2"/>
      <x:c r="C95" s="2"/>
      <x:c r="D95" s="2"/>
      <x:c r="E95" s="2"/>
      <x:c r="F95" s="2"/>
      <x:c r="G95" s="2"/>
      <x:c r="H95" s="2"/>
      <x:c r="I95" s="2"/>
      <x:c r="J95" s="2"/>
      <x:c r="K95" s="2"/>
      <x:c r="L95" s="2"/>
      <x:c r="M95" s="2"/>
      <x:c r="N95" s="2"/>
      <x:c r="O95" s="2"/>
    </x:row>
    <x:row r="96" ht="24" customHeight="1">
      <x:c r="A96" s="2"/>
      <x:c r="B96" s="2"/>
      <x:c r="C96" s="2"/>
      <x:c r="D96" s="2"/>
      <x:c r="E96" s="2"/>
      <x:c r="F96" s="2"/>
      <x:c r="G96" s="2"/>
      <x:c r="H96" s="2"/>
      <x:c r="I96" s="2"/>
      <x:c r="J96" s="2"/>
      <x:c r="K96" s="2"/>
      <x:c r="L96" s="2"/>
      <x:c r="M96" s="2"/>
      <x:c r="N96" s="2"/>
      <x:c r="O96" s="2"/>
    </x:row>
    <x:row r="97" ht="24" customHeight="1">
      <x:c r="A97" s="2"/>
      <x:c r="B97" s="2"/>
      <x:c r="C97" s="2"/>
      <x:c r="D97" s="2"/>
      <x:c r="E97" s="2"/>
      <x:c r="F97" s="2"/>
      <x:c r="G97" s="2"/>
      <x:c r="H97" s="2"/>
      <x:c r="I97" s="2"/>
      <x:c r="J97" s="2"/>
      <x:c r="K97" s="2"/>
      <x:c r="L97" s="2"/>
      <x:c r="M97" s="2"/>
      <x:c r="N97" s="2"/>
      <x:c r="O97" s="2"/>
    </x:row>
    <x:row r="98" ht="24" customHeight="1">
      <x:c r="A98" s="2"/>
      <x:c r="B98" s="2"/>
      <x:c r="C98" s="2"/>
      <x:c r="D98" s="2"/>
      <x:c r="E98" s="2"/>
      <x:c r="F98" s="2"/>
      <x:c r="G98" s="2"/>
      <x:c r="H98" s="2"/>
      <x:c r="I98" s="2"/>
      <x:c r="J98" s="2"/>
      <x:c r="K98" s="2"/>
      <x:c r="L98" s="2"/>
      <x:c r="M98" s="2"/>
      <x:c r="N98" s="2"/>
      <x:c r="O98" s="2"/>
    </x:row>
    <x:row r="99" ht="24" customHeight="1">
      <x:c r="A99" s="2"/>
      <x:c r="B99" s="2"/>
      <x:c r="C99" s="4" t="str">
        <x:v>서비스는 연평균 설치 × 가동률 × 유료 부착률 × 연 단가. 기초 설치를 변경하면 그 기체의 별도 퇴역 계획은 추가해야 합니다.</x:v>
      </x:c>
      <x:c r="D99" s="2"/>
      <x:c r="E99" s="2"/>
      <x:c r="F99" s="2"/>
      <x:c r="G99" s="2"/>
      <x:c r="H99" s="2"/>
      <x:c r="I99" s="2"/>
      <x:c r="J99" s="2"/>
      <x:c r="K99" s="2"/>
      <x:c r="L99" s="2"/>
      <x:c r="M99" s="2"/>
      <x:c r="N99" s="2"/>
      <x:c r="O99" s="2"/>
    </x:row>
    <x:row r="100" ht="24" customHeight="1">
      <x:c r="A100" s="2"/>
      <x:c r="B100" s="2"/>
      <x:c r="C100" s="2"/>
      <x:c r="D100" s="2"/>
      <x:c r="E100" s="2"/>
      <x:c r="F100" s="2"/>
      <x:c r="G100" s="2"/>
      <x:c r="H100" s="2"/>
      <x:c r="I100" s="2"/>
      <x:c r="J100" s="2"/>
      <x:c r="K100" s="2"/>
      <x:c r="L100" s="2"/>
      <x:c r="M100" s="2"/>
      <x:c r="N100" s="2"/>
      <x:c r="O100" s="2"/>
    </x:row>
    <x:row r="101" ht="24" customHeight="1">
      <x:c r="A101" s="2"/>
      <x:c r="B101" s="2"/>
      <x:c r="C101" s="2"/>
      <x:c r="D101" s="2"/>
      <x:c r="E101" s="2"/>
      <x:c r="F101" s="2"/>
      <x:c r="G101" s="2"/>
      <x:c r="H101" s="2"/>
      <x:c r="I101" s="2"/>
      <x:c r="J101" s="2"/>
      <x:c r="K101" s="2"/>
      <x:c r="L101" s="2"/>
      <x:c r="M101" s="2"/>
      <x:c r="N101" s="2"/>
      <x:c r="O101" s="2"/>
    </x:row>
  </x:sheetData>
  <x:conditionalFormatting sqref="E50:E50">
    <x:cfRule type="containsText" dxfId="10" priority="1" operator="containsText" text="확인"/>
  </x:conditionalFormatting>
  <x:conditionalFormatting sqref="F50:F50">
    <x:cfRule type="containsText" dxfId="11" priority="2" operator="containsText" text="확인"/>
  </x:conditionalFormatting>
  <x:conditionalFormatting sqref="G50:G50">
    <x:cfRule type="containsText" dxfId="12" priority="3" operator="containsText" text="확인"/>
  </x:conditionalFormatting>
  <x:conditionalFormatting sqref="H50:H50">
    <x:cfRule type="containsText" dxfId="13" priority="4" operator="containsText" text="확인"/>
  </x:conditionalFormatting>
  <x:conditionalFormatting sqref="I50:I50">
    <x:cfRule type="containsText" dxfId="14" priority="5" operator="containsText" text="확인"/>
  </x:conditionalFormatting>
  <x:conditionalFormatting sqref="J50:J50">
    <x:cfRule type="containsText" dxfId="15" priority="6" operator="containsText" text="확인"/>
  </x:conditionalFormatting>
  <x:conditionalFormatting sqref="K50:K50">
    <x:cfRule type="containsText" dxfId="16" priority="7" operator="containsText" text="확인"/>
  </x:conditionalFormatting>
  <x:conditionalFormatting sqref="L50:L50">
    <x:cfRule type="containsText" dxfId="17" priority="8" operator="containsText" text="확인"/>
  </x:conditionalFormatting>
  <x:conditionalFormatting sqref="M50:M50">
    <x:cfRule type="containsText" dxfId="18" priority="9" operator="containsText" text="확인"/>
  </x:conditionalFormatting>
  <x:conditionalFormatting sqref="N50:N50">
    <x:cfRule type="containsText" dxfId="19" priority="10" operator="containsText" text="확인"/>
  </x:conditionalFormatting>
  <x:dataValidations count="16">
    <x:dataValidation type="whole" operator="between" sqref="E5">
      <x:formula1>1</x:formula1>
      <x:formula2>3</x:formula2>
    </x:dataValidation>
    <x:dataValidation type="decimal" operator="between" sqref="E21">
      <x:formula1>0</x:formula1>
      <x:formula2>1</x:formula2>
    </x:dataValidation>
    <x:dataValidation type="decimal" operator="between" sqref="E22">
      <x:formula1>0</x:formula1>
      <x:formula2>1</x:formula2>
    </x:dataValidation>
    <x:dataValidation type="decimal" operator="between" sqref="E23">
      <x:formula1>0</x:formula1>
      <x:formula2>1</x:formula2>
    </x:dataValidation>
    <x:dataValidation type="decimal" operator="between" sqref="E70">
      <x:formula1>0</x:formula1>
      <x:formula2>1</x:formula2>
    </x:dataValidation>
    <x:dataValidation type="decimal" operator="between" sqref="F70">
      <x:formula1>0</x:formula1>
      <x:formula2>1</x:formula2>
    </x:dataValidation>
    <x:dataValidation type="decimal" operator="between" sqref="G70">
      <x:formula1>0</x:formula1>
      <x:formula2>1</x:formula2>
    </x:dataValidation>
    <x:dataValidation type="decimal" operator="between" sqref="H70">
      <x:formula1>0</x:formula1>
      <x:formula2>1</x:formula2>
    </x:dataValidation>
    <x:dataValidation type="decimal" operator="between" sqref="E71">
      <x:formula1>0</x:formula1>
      <x:formula2>1</x:formula2>
    </x:dataValidation>
    <x:dataValidation type="decimal" operator="between" sqref="F71">
      <x:formula1>0</x:formula1>
      <x:formula2>1</x:formula2>
    </x:dataValidation>
    <x:dataValidation type="decimal" operator="between" sqref="G71">
      <x:formula1>0</x:formula1>
      <x:formula2>1</x:formula2>
    </x:dataValidation>
    <x:dataValidation type="decimal" operator="between" sqref="H71">
      <x:formula1>0</x:formula1>
      <x:formula2>1</x:formula2>
    </x:dataValidation>
    <x:dataValidation type="decimal" operator="between" sqref="E72">
      <x:formula1>0</x:formula1>
      <x:formula2>1</x:formula2>
    </x:dataValidation>
    <x:dataValidation type="decimal" operator="between" sqref="F72">
      <x:formula1>0</x:formula1>
      <x:formula2>1</x:formula2>
    </x:dataValidation>
    <x:dataValidation type="decimal" operator="between" sqref="G72">
      <x:formula1>0</x:formula1>
      <x:formula2>1</x:formula2>
    </x:dataValidation>
    <x:dataValidation type="decimal" operator="between" sqref="H72">
      <x:formula1>0</x:formula1>
      <x:formula2>1</x:formula2>
    </x:dataValidation>
  </x:dataValidations>
  <x:pageMargins left="0.7" right="0.7" top="0.75" bottom="0.75" header="0.3" footer="0.3"/>
  <x:drawing xmlns:r="http://schemas.openxmlformats.org/officeDocument/2006/relationships" r:id="R411a3ad7986a4b38"/>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34" hidden="0" customWidth="1"/>
    <x:col min="4" max="4" width="16" hidden="0" customWidth="1"/>
    <x:col min="5" max="5" width="22" hidden="0" customWidth="1"/>
    <x:col min="6" max="6" width="22" hidden="0" customWidth="1"/>
    <x:col min="7" max="7" width="3"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s>
  <x:sheetData>
    <x:row r="1" ht="24" customHeight="1">
      <x:c r="A1" s="2"/>
      <x:c r="B1" s="2"/>
      <x:c r="C1" s="2"/>
      <x:c r="D1" s="2"/>
      <x:c r="E1" s="2"/>
      <x:c r="F1" s="2"/>
      <x:c r="G1" s="2"/>
      <x:c r="H1" s="2"/>
      <x:c r="I1" s="2"/>
      <x:c r="J1" s="2"/>
      <x:c r="K1" s="2"/>
      <x:c r="L1" s="2"/>
      <x:c r="M1" s="2"/>
      <x:c r="N1" s="2"/>
    </x:row>
    <x:row r="2" ht="24" customHeight="1">
      <x:c r="A2" s="2"/>
      <x:c r="B2" s="2"/>
      <x:c r="C2" s="3" t="str">
        <x:v>고객 절감과 별도로 계산하는 공급사 손익</x:v>
      </x:c>
      <x:c r="D2" s="3"/>
      <x:c r="E2" s="3"/>
      <x:c r="F2" s="3"/>
      <x:c r="G2" s="3"/>
      <x:c r="H2" s="3"/>
      <x:c r="I2" s="3"/>
      <x:c r="J2" s="3"/>
      <x:c r="K2" s="3"/>
      <x:c r="L2" s="3"/>
      <x:c r="M2" s="3"/>
      <x:c r="N2" s="3"/>
    </x:row>
    <x:row r="3" ht="24" customHeight="1">
      <x:c r="A3" s="2"/>
      <x:c r="B3" s="2"/>
      <x:c r="C3" s="2"/>
      <x:c r="D3" s="2"/>
      <x:c r="E3" s="2"/>
      <x:c r="F3" s="2"/>
      <x:c r="G3" s="2"/>
      <x:c r="H3" s="2"/>
      <x:c r="I3" s="2"/>
      <x:c r="J3" s="2"/>
      <x:c r="K3" s="2"/>
      <x:c r="L3" s="2"/>
      <x:c r="M3" s="2"/>
      <x:c r="N3" s="2"/>
    </x:row>
    <x:row r="4" ht="24" customHeight="1">
      <x:c r="A4" s="2"/>
      <x:c r="B4" s="2"/>
      <x:c r="C4" s="4" t="str">
        <x:v>특정 회사의 공개 원가가 아닙니다. 판매가격·변동원가·고정 현금비용은 모두 조건부 가정입니다.</x:v>
      </x:c>
      <x:c r="D4" s="2"/>
      <x:c r="E4" s="2"/>
      <x:c r="F4" s="2"/>
      <x:c r="G4" s="2"/>
      <x:c r="H4" s="2"/>
      <x:c r="I4" s="2"/>
      <x:c r="J4" s="2"/>
      <x:c r="K4" s="2"/>
      <x:c r="L4" s="2"/>
      <x:c r="M4" s="2"/>
      <x:c r="N4" s="2"/>
    </x:row>
    <x:row r="5" ht="24" customHeight="1">
      <x:c r="A5" s="2"/>
      <x:c r="B5" s="2"/>
      <x:c r="C5" s="2"/>
      <x:c r="D5" s="2"/>
      <x:c r="E5" s="2"/>
      <x:c r="F5" s="2"/>
      <x:c r="G5" s="2"/>
      <x:c r="H5" s="2"/>
      <x:c r="I5" s="2"/>
      <x:c r="J5" s="2"/>
      <x:c r="K5" s="2"/>
      <x:c r="L5" s="2"/>
      <x:c r="M5" s="2"/>
      <x:c r="N5" s="2"/>
    </x:row>
    <x:row r="6" ht="34" customHeight="1">
      <x:c r="A6" s="2"/>
      <x:c r="B6" s="2"/>
      <x:c r="C6" s="8" t="str">
        <x:v>입력</x:v>
      </x:c>
      <x:c r="D6" s="8" t="str">
        <x:v>단위</x:v>
      </x:c>
      <x:c r="E6" s="8" t="str">
        <x:v>값</x:v>
      </x:c>
      <x:c r="F6" s="2"/>
      <x:c r="G6" s="2"/>
      <x:c r="H6" s="2"/>
      <x:c r="I6" s="2"/>
      <x:c r="J6" s="2"/>
      <x:c r="K6" s="2"/>
      <x:c r="L6" s="2"/>
      <x:c r="M6" s="2"/>
      <x:c r="N6" s="2"/>
    </x:row>
    <x:row r="7" ht="24" customHeight="1">
      <x:c r="A7" s="2"/>
      <x:c r="B7" s="2"/>
      <x:c r="C7" s="2" t="str">
        <x:v>연 판매량</x:v>
      </x:c>
      <x:c r="D7" s="2" t="str">
        <x:v>대</x:v>
      </x:c>
      <x:c r="E7" s="29" t="n">
        <x:v>2000</x:v>
      </x:c>
      <x:c r="F7" s="2"/>
      <x:c r="G7" s="2"/>
      <x:c r="H7" s="2"/>
      <x:c r="I7" s="2"/>
      <x:c r="J7" s="2"/>
      <x:c r="K7" s="2"/>
      <x:c r="L7" s="2"/>
      <x:c r="M7" s="2"/>
      <x:c r="N7" s="2"/>
    </x:row>
    <x:row r="8" ht="24" customHeight="1">
      <x:c r="A8" s="2"/>
      <x:c r="B8" s="2"/>
      <x:c r="C8" s="2" t="str">
        <x:v>평균 판매가격</x:v>
      </x:c>
      <x:c r="D8" s="2" t="str">
        <x:v>USD</x:v>
      </x:c>
      <x:c r="E8" s="27" t="n">
        <x:v>60000</x:v>
      </x:c>
      <x:c r="F8" s="2"/>
      <x:c r="G8" s="2"/>
      <x:c r="H8" s="2"/>
      <x:c r="I8" s="2"/>
      <x:c r="J8" s="2"/>
      <x:c r="K8" s="2"/>
      <x:c r="L8" s="2"/>
      <x:c r="M8" s="2"/>
      <x:c r="N8" s="2"/>
    </x:row>
    <x:row r="9" ht="24" customHeight="1">
      <x:c r="A9" s="2"/>
      <x:c r="B9" s="2"/>
      <x:c r="C9" s="2" t="str">
        <x:v>BOM</x:v>
      </x:c>
      <x:c r="D9" s="2" t="str">
        <x:v>USD/대</x:v>
      </x:c>
      <x:c r="E9" s="27" t="n">
        <x:v>35000</x:v>
      </x:c>
      <x:c r="F9" s="2"/>
      <x:c r="G9" s="2"/>
      <x:c r="H9" s="2"/>
      <x:c r="I9" s="2"/>
      <x:c r="J9" s="2"/>
      <x:c r="K9" s="2"/>
      <x:c r="L9" s="2"/>
      <x:c r="M9" s="2"/>
      <x:c r="N9" s="2"/>
    </x:row>
    <x:row r="10" ht="24" customHeight="1">
      <x:c r="A10" s="2"/>
      <x:c r="B10" s="2"/>
      <x:c r="C10" s="2" t="str">
        <x:v>조립·검사</x:v>
      </x:c>
      <x:c r="D10" s="2" t="str">
        <x:v>USD/대</x:v>
      </x:c>
      <x:c r="E10" s="27" t="n">
        <x:v>5000</x:v>
      </x:c>
      <x:c r="F10" s="2"/>
      <x:c r="G10" s="2"/>
      <x:c r="H10" s="2"/>
      <x:c r="I10" s="2"/>
      <x:c r="J10" s="2"/>
      <x:c r="K10" s="2"/>
      <x:c r="L10" s="2"/>
      <x:c r="M10" s="2"/>
      <x:c r="N10" s="2"/>
    </x:row>
    <x:row r="11" ht="24" customHeight="1">
      <x:c r="A11" s="2"/>
      <x:c r="B11" s="2"/>
      <x:c r="C11" s="2" t="str">
        <x:v>보증 충당·수리</x:v>
      </x:c>
      <x:c r="D11" s="2" t="str">
        <x:v>USD/대</x:v>
      </x:c>
      <x:c r="E11" s="27" t="n">
        <x:v>3000</x:v>
      </x:c>
      <x:c r="F11" s="2"/>
      <x:c r="G11" s="2"/>
      <x:c r="H11" s="2"/>
      <x:c r="I11" s="2"/>
      <x:c r="J11" s="2"/>
      <x:c r="K11" s="2"/>
      <x:c r="L11" s="2"/>
      <x:c r="M11" s="2"/>
      <x:c r="N11" s="2"/>
    </x:row>
    <x:row r="12" ht="24" customHeight="1">
      <x:c r="A12" s="2"/>
      <x:c r="B12" s="2"/>
      <x:c r="C12" s="2" t="str">
        <x:v>판매·배송</x:v>
      </x:c>
      <x:c r="D12" s="2" t="str">
        <x:v>USD/대</x:v>
      </x:c>
      <x:c r="E12" s="27" t="n">
        <x:v>2000</x:v>
      </x:c>
      <x:c r="F12" s="2"/>
      <x:c r="G12" s="2"/>
      <x:c r="H12" s="2"/>
      <x:c r="I12" s="2"/>
      <x:c r="J12" s="2"/>
      <x:c r="K12" s="2"/>
      <x:c r="L12" s="2"/>
      <x:c r="M12" s="2"/>
      <x:c r="N12" s="2"/>
    </x:row>
    <x:row r="13" ht="24" customHeight="1">
      <x:c r="A13" s="2"/>
      <x:c r="B13" s="2"/>
      <x:c r="C13" s="2" t="str">
        <x:v>연 고정 현금 운영비</x:v>
      </x:c>
      <x:c r="D13" s="2" t="str">
        <x:v>USD</x:v>
      </x:c>
      <x:c r="E13" s="27" t="n">
        <x:v>80000000</x:v>
      </x:c>
      <x:c r="F13" s="2"/>
      <x:c r="G13" s="2"/>
      <x:c r="H13" s="2"/>
      <x:c r="I13" s="2"/>
      <x:c r="J13" s="2"/>
      <x:c r="K13" s="2"/>
      <x:c r="L13" s="2"/>
      <x:c r="M13" s="2"/>
      <x:c r="N13" s="2"/>
    </x:row>
    <x:row r="14" ht="24" customHeight="1">
      <x:c r="A14" s="2"/>
      <x:c r="B14" s="2"/>
      <x:c r="C14" s="2"/>
      <x:c r="D14" s="2"/>
      <x:c r="E14" s="2"/>
      <x:c r="F14" s="2"/>
      <x:c r="G14" s="2"/>
      <x:c r="H14" s="2"/>
      <x:c r="I14" s="2"/>
      <x:c r="J14" s="2"/>
      <x:c r="K14" s="2"/>
      <x:c r="L14" s="2"/>
      <x:c r="M14" s="2"/>
      <x:c r="N14" s="2"/>
    </x:row>
    <x:row r="15" ht="24" customHeight="1">
      <x:c r="A15" s="2"/>
      <x:c r="B15" s="2"/>
      <x:c r="C15" s="2" t="str">
        <x:v>입력 유효성</x:v>
      </x:c>
      <x:c r="D15" s="2"/>
      <x:c r="E15" s="9" t="str">
        <x:f>IF(AND(COUNT(E7:E13)=7,MIN(E7:E13)&gt;=0),"입력 유효","입력 확인")</x:f>
        <x:v>입력 유효</x:v>
      </x:c>
      <x:c r="F15" s="2"/>
      <x:c r="G15" s="2"/>
      <x:c r="H15" s="2"/>
      <x:c r="I15" s="2"/>
      <x:c r="J15" s="2"/>
      <x:c r="K15" s="2"/>
      <x:c r="L15" s="2"/>
      <x:c r="M15" s="2"/>
      <x:c r="N15" s="2"/>
    </x:row>
    <x:row r="16" ht="24" customHeight="1">
      <x:c r="A16" s="2"/>
      <x:c r="B16" s="2"/>
      <x:c r="C16" s="2"/>
      <x:c r="D16" s="2"/>
      <x:c r="E16" s="2"/>
      <x:c r="F16" s="2"/>
      <x:c r="G16" s="2"/>
      <x:c r="H16" s="2"/>
      <x:c r="I16" s="2"/>
      <x:c r="J16" s="2"/>
      <x:c r="K16" s="2"/>
      <x:c r="L16" s="2"/>
      <x:c r="M16" s="2"/>
      <x:c r="N16" s="2"/>
    </x:row>
    <x:row r="17" ht="34" customHeight="1">
      <x:c r="A17" s="2"/>
      <x:c r="B17" s="2"/>
      <x:c r="C17" s="8" t="str">
        <x:v>계산 결과</x:v>
      </x:c>
      <x:c r="D17" s="8" t="str">
        <x:v>단위</x:v>
      </x:c>
      <x:c r="E17" s="8" t="str">
        <x:v>값</x:v>
      </x:c>
      <x:c r="F17" s="2"/>
      <x:c r="G17" s="2"/>
      <x:c r="H17" s="2"/>
      <x:c r="I17" s="2"/>
      <x:c r="J17" s="2"/>
      <x:c r="K17" s="2"/>
      <x:c r="L17" s="2"/>
      <x:c r="M17" s="2"/>
      <x:c r="N17" s="2"/>
    </x:row>
    <x:row r="18" ht="24" customHeight="1">
      <x:c r="A18" s="2"/>
      <x:c r="B18" s="2"/>
      <x:c r="C18" s="2" t="str">
        <x:v>기체당 변동원가</x:v>
      </x:c>
      <x:c r="D18" s="2" t="str">
        <x:v>USD</x:v>
      </x:c>
      <x:c r="E18" s="18" t="n">
        <x:f>IF(E15="입력 유효",SUM(E9:E12),"입력 확인")</x:f>
        <x:v>45000</x:v>
      </x:c>
      <x:c r="F18" s="2"/>
      <x:c r="G18" s="2"/>
      <x:c r="H18" s="2"/>
      <x:c r="I18" s="2"/>
      <x:c r="J18" s="2"/>
      <x:c r="K18" s="2"/>
      <x:c r="L18" s="2"/>
      <x:c r="M18" s="2"/>
      <x:c r="N18" s="2"/>
    </x:row>
    <x:row r="19" ht="24" customHeight="1">
      <x:c r="A19" s="2"/>
      <x:c r="B19" s="2"/>
      <x:c r="C19" s="2" t="str">
        <x:v>기체당 공헌이익</x:v>
      </x:c>
      <x:c r="D19" s="2" t="str">
        <x:v>USD</x:v>
      </x:c>
      <x:c r="E19" s="18" t="n">
        <x:f>IF(E15="입력 유효",E8-E18,"입력 확인")</x:f>
        <x:v>15000</x:v>
      </x:c>
      <x:c r="F19" s="2"/>
      <x:c r="G19" s="2"/>
      <x:c r="H19" s="2"/>
      <x:c r="I19" s="2"/>
      <x:c r="J19" s="2"/>
      <x:c r="K19" s="2"/>
      <x:c r="L19" s="2"/>
      <x:c r="M19" s="2"/>
      <x:c r="N19" s="2"/>
    </x:row>
    <x:row r="20" ht="24" customHeight="1">
      <x:c r="A20" s="2"/>
      <x:c r="B20" s="2"/>
      <x:c r="C20" s="2" t="str">
        <x:v>공헌이익률</x:v>
      </x:c>
      <x:c r="D20" s="2" t="str">
        <x:v>%</x:v>
      </x:c>
      <x:c r="E20" s="23" t="n">
        <x:f>IF(E15="입력 유효",IF(E8=0,"매출 없음",E19/E8),"입력 확인")</x:f>
        <x:v>0.25</x:v>
      </x:c>
      <x:c r="F20" s="2"/>
      <x:c r="G20" s="2"/>
      <x:c r="H20" s="2"/>
      <x:c r="I20" s="2"/>
      <x:c r="J20" s="2"/>
      <x:c r="K20" s="2"/>
      <x:c r="L20" s="2"/>
      <x:c r="M20" s="2"/>
      <x:c r="N20" s="2"/>
    </x:row>
    <x:row r="21" ht="24" customHeight="1">
      <x:c r="A21" s="2"/>
      <x:c r="B21" s="2"/>
      <x:c r="C21" s="2" t="str">
        <x:v>연 매출</x:v>
      </x:c>
      <x:c r="D21" s="2" t="str">
        <x:v>USD</x:v>
      </x:c>
      <x:c r="E21" s="18" t="n">
        <x:f>IF(E15="입력 유효",E7*E8,"입력 확인")</x:f>
        <x:v>120000000</x:v>
      </x:c>
      <x:c r="F21" s="2"/>
      <x:c r="G21" s="2"/>
      <x:c r="H21" s="2"/>
      <x:c r="I21" s="2"/>
      <x:c r="J21" s="2"/>
      <x:c r="K21" s="2"/>
      <x:c r="L21" s="2"/>
      <x:c r="M21" s="2"/>
      <x:c r="N21" s="2"/>
    </x:row>
    <x:row r="22" ht="24" customHeight="1">
      <x:c r="A22" s="2"/>
      <x:c r="B22" s="2"/>
      <x:c r="C22" s="2" t="str">
        <x:v>연 현금 영업손익</x:v>
      </x:c>
      <x:c r="D22" s="2" t="str">
        <x:v>USD</x:v>
      </x:c>
      <x:c r="E22" s="18" t="n">
        <x:f>IF(E15="입력 유효",E7*E19-E13,"입력 확인")</x:f>
        <x:v>-50000000</x:v>
      </x:c>
      <x:c r="F22" s="2"/>
      <x:c r="G22" s="2"/>
      <x:c r="H22" s="2"/>
      <x:c r="I22" s="2"/>
      <x:c r="J22" s="2"/>
      <x:c r="K22" s="2"/>
      <x:c r="L22" s="2"/>
      <x:c r="M22" s="2"/>
      <x:c r="N22" s="2"/>
    </x:row>
    <x:row r="23" ht="24" customHeight="1">
      <x:c r="A23" s="2"/>
      <x:c r="B23" s="2"/>
      <x:c r="C23" s="2" t="str">
        <x:v>손익분기 판매량 (연속)</x:v>
      </x:c>
      <x:c r="D23" s="2" t="str">
        <x:v>대</x:v>
      </x:c>
      <x:c r="E23" s="21" t="n">
        <x:f>IF(E15="입력 유효",IF(E19&lt;=0,"손익분기 불가",E13/E19),"입력 확인")</x:f>
        <x:v>5333.333333333333</x:v>
      </x:c>
      <x:c r="F23" s="2"/>
      <x:c r="G23" s="2"/>
      <x:c r="H23" s="2"/>
      <x:c r="I23" s="2"/>
      <x:c r="J23" s="2"/>
      <x:c r="K23" s="2"/>
      <x:c r="L23" s="2"/>
      <x:c r="M23" s="2"/>
      <x:c r="N23" s="2"/>
    </x:row>
    <x:row r="24" ht="24" customHeight="1">
      <x:c r="A24" s="2"/>
      <x:c r="B24" s="2"/>
      <x:c r="C24" s="2"/>
      <x:c r="D24" s="2"/>
      <x:c r="E24" s="2"/>
      <x:c r="F24" s="2"/>
      <x:c r="G24" s="2"/>
      <x:c r="H24" s="2"/>
      <x:c r="I24" s="2"/>
      <x:c r="J24" s="2"/>
      <x:c r="K24" s="2"/>
      <x:c r="L24" s="2"/>
      <x:c r="M24" s="2"/>
      <x:c r="N24" s="2"/>
    </x:row>
    <x:row r="25" ht="24" customHeight="1">
      <x:c r="A25" s="2"/>
      <x:c r="B25" s="2"/>
      <x:c r="C25" s="2"/>
      <x:c r="D25" s="2"/>
      <x:c r="E25" s="2"/>
      <x:c r="F25" s="2"/>
      <x:c r="G25" s="2"/>
      <x:c r="H25" s="2"/>
      <x:c r="I25" s="2"/>
      <x:c r="J25" s="2"/>
      <x:c r="K25" s="2"/>
      <x:c r="L25" s="2"/>
      <x:c r="M25" s="2"/>
      <x:c r="N25" s="2"/>
    </x:row>
    <x:row r="26" ht="24" customHeight="1">
      <x:c r="A26" s="2"/>
      <x:c r="B26" s="2"/>
      <x:c r="C26" s="2"/>
      <x:c r="D26" s="2"/>
      <x:c r="E26" s="2"/>
      <x:c r="F26" s="2"/>
      <x:c r="G26" s="2"/>
      <x:c r="H26" s="2"/>
      <x:c r="I26" s="2"/>
      <x:c r="J26" s="2"/>
      <x:c r="K26" s="2"/>
      <x:c r="L26" s="2"/>
      <x:c r="M26" s="2"/>
      <x:c r="N26" s="2"/>
    </x:row>
    <x:row r="27" ht="24" customHeight="1">
      <x:c r="A27" s="2"/>
      <x:c r="B27" s="2"/>
      <x:c r="C27" s="2"/>
      <x:c r="D27" s="2"/>
      <x:c r="E27" s="2"/>
      <x:c r="F27" s="2"/>
      <x:c r="G27" s="2"/>
      <x:c r="H27" s="2"/>
      <x:c r="I27" s="2"/>
      <x:c r="J27" s="2"/>
      <x:c r="K27" s="2"/>
      <x:c r="L27" s="2"/>
      <x:c r="M27" s="2"/>
      <x:c r="N27" s="2"/>
    </x:row>
    <x:row r="28" ht="34" customHeight="1">
      <x:c r="A28" s="2"/>
      <x:c r="B28" s="2"/>
      <x:c r="C28" s="8" t="str">
        <x:v>판매량 조건</x:v>
      </x:c>
      <x:c r="D28" s="8" t="str">
        <x:v>매출</x:v>
      </x:c>
      <x:c r="E28" s="8" t="str">
        <x:v>총 공헌이익</x:v>
      </x:c>
      <x:c r="F28" s="8" t="str">
        <x:v>현금 영업손익</x:v>
      </x:c>
      <x:c r="G28" s="2"/>
      <x:c r="H28" s="2"/>
      <x:c r="I28" s="2"/>
      <x:c r="J28" s="2"/>
      <x:c r="K28" s="2"/>
      <x:c r="L28" s="2"/>
      <x:c r="M28" s="2"/>
      <x:c r="N28" s="2"/>
    </x:row>
    <x:row r="29" ht="24" customHeight="1">
      <x:c r="A29" s="2"/>
      <x:c r="B29" s="2"/>
      <x:c r="C29" s="29" t="n">
        <x:v>500</x:v>
      </x:c>
      <x:c r="D29" s="18" t="n">
        <x:f>IF(AND($E$15="입력 유효",ISNUMBER(C29),C29&gt;=0),C29*$E$8,"입력 확인")</x:f>
        <x:v>30000000</x:v>
      </x:c>
      <x:c r="E29" s="18" t="n">
        <x:f>IF(ISNUMBER(D29),C29*$E$19,"입력 확인")</x:f>
        <x:v>7500000</x:v>
      </x:c>
      <x:c r="F29" s="18" t="n">
        <x:f>IF(ISNUMBER(E29),E29-$E$13,"입력 확인")</x:f>
        <x:v>-72500000</x:v>
      </x:c>
      <x:c r="G29" s="2"/>
      <x:c r="H29" s="2"/>
      <x:c r="I29" s="2"/>
      <x:c r="J29" s="2"/>
      <x:c r="K29" s="2"/>
      <x:c r="L29" s="2"/>
      <x:c r="M29" s="2"/>
      <x:c r="N29" s="2"/>
    </x:row>
    <x:row r="30" ht="24" customHeight="1">
      <x:c r="A30" s="2"/>
      <x:c r="B30" s="2"/>
      <x:c r="C30" s="29" t="n">
        <x:v>2000</x:v>
      </x:c>
      <x:c r="D30" s="18" t="n">
        <x:f>IF(AND($E$15="입력 유효",ISNUMBER(C30),C30&gt;=0),C30*$E$8,"입력 확인")</x:f>
        <x:v>120000000</x:v>
      </x:c>
      <x:c r="E30" s="18" t="n">
        <x:f>IF(ISNUMBER(D30),C30*$E$19,"입력 확인")</x:f>
        <x:v>30000000</x:v>
      </x:c>
      <x:c r="F30" s="18" t="n">
        <x:f>IF(ISNUMBER(E30),E30-$E$13,"입력 확인")</x:f>
        <x:v>-50000000</x:v>
      </x:c>
      <x:c r="G30" s="2"/>
      <x:c r="H30" s="2"/>
      <x:c r="I30" s="2"/>
      <x:c r="J30" s="2"/>
      <x:c r="K30" s="2"/>
      <x:c r="L30" s="2"/>
      <x:c r="M30" s="2"/>
      <x:c r="N30" s="2"/>
    </x:row>
    <x:row r="31" ht="24" customHeight="1">
      <x:c r="A31" s="2"/>
      <x:c r="B31" s="2"/>
      <x:c r="C31" s="29" t="n">
        <x:v>10000</x:v>
      </x:c>
      <x:c r="D31" s="18" t="n">
        <x:f>IF(AND($E$15="입력 유효",ISNUMBER(C31),C31&gt;=0),C31*$E$8,"입력 확인")</x:f>
        <x:v>600000000</x:v>
      </x:c>
      <x:c r="E31" s="18" t="n">
        <x:f>IF(ISNUMBER(D31),C31*$E$19,"입력 확인")</x:f>
        <x:v>150000000</x:v>
      </x:c>
      <x:c r="F31" s="18" t="n">
        <x:f>IF(ISNUMBER(E31),E31-$E$13,"입력 확인")</x:f>
        <x:v>70000000</x:v>
      </x:c>
      <x:c r="G31" s="2"/>
      <x:c r="H31" s="2"/>
      <x:c r="I31" s="2"/>
      <x:c r="J31" s="2"/>
      <x:c r="K31" s="2"/>
      <x:c r="L31" s="2"/>
      <x:c r="M31" s="2"/>
      <x:c r="N31" s="2"/>
    </x:row>
    <x:row r="32" ht="24" customHeight="1">
      <x:c r="A32" s="2"/>
      <x:c r="B32" s="2"/>
      <x:c r="C32" s="2"/>
      <x:c r="D32" s="2"/>
      <x:c r="E32" s="2"/>
      <x:c r="F32" s="2"/>
      <x:c r="G32" s="2"/>
      <x:c r="H32" s="2"/>
      <x:c r="I32" s="2"/>
      <x:c r="J32" s="2"/>
      <x:c r="K32" s="2"/>
      <x:c r="L32" s="2"/>
      <x:c r="M32" s="2"/>
      <x:c r="N32" s="2"/>
    </x:row>
    <x:row r="33" ht="24" customHeight="1">
      <x:c r="A33" s="2"/>
      <x:c r="B33" s="2"/>
      <x:c r="C33" s="2"/>
      <x:c r="D33" s="2"/>
      <x:c r="E33" s="2"/>
      <x:c r="F33" s="2"/>
      <x:c r="G33" s="2"/>
      <x:c r="H33" s="2"/>
      <x:c r="I33" s="2"/>
      <x:c r="J33" s="2"/>
      <x:c r="K33" s="2"/>
      <x:c r="L33" s="2"/>
      <x:c r="M33" s="2"/>
      <x:c r="N33" s="2"/>
    </x:row>
    <x:row r="34" ht="24" customHeight="1">
      <x:c r="A34" s="2"/>
      <x:c r="B34" s="2"/>
      <x:c r="C34" s="4" t="str">
        <x:v>손익분기 대수는 고정 현금비용 ÷ 기체당 공헌이익. 설비투자·운전자본·세금·금융비용은 포함하지 않았습니다.</x:v>
      </x:c>
      <x:c r="D34" s="2"/>
      <x:c r="E34" s="2"/>
      <x:c r="F34" s="2"/>
      <x:c r="G34" s="2"/>
      <x:c r="H34" s="2"/>
      <x:c r="I34" s="2"/>
      <x:c r="J34" s="2"/>
      <x:c r="K34" s="2"/>
      <x:c r="L34" s="2"/>
      <x:c r="M34" s="2"/>
      <x:c r="N34" s="2"/>
    </x:row>
    <x:row r="35" ht="24" customHeight="1">
      <x:c r="A35" s="2"/>
      <x:c r="B35" s="2"/>
      <x:c r="C35" s="4" t="str">
        <x:v>가격 하락이 BOM 하락보다 빠르면 고객 경제성이 좋아져도 공급사 손익은 악화될 수 있습니다.</x:v>
      </x:c>
      <x:c r="D35" s="2"/>
      <x:c r="E35" s="2"/>
      <x:c r="F35" s="2"/>
      <x:c r="G35" s="2"/>
      <x:c r="H35" s="2"/>
      <x:c r="I35" s="2"/>
      <x:c r="J35" s="2"/>
      <x:c r="K35" s="2"/>
      <x:c r="L35" s="2"/>
      <x:c r="M35" s="2"/>
      <x:c r="N35" s="2"/>
    </x:row>
    <x:row r="36" ht="24" customHeight="1">
      <x:c r="A36" s="2"/>
      <x:c r="B36" s="2"/>
      <x:c r="C36" s="2"/>
      <x:c r="D36" s="2"/>
      <x:c r="E36" s="2"/>
      <x:c r="F36" s="2"/>
      <x:c r="G36" s="2"/>
      <x:c r="H36" s="2"/>
      <x:c r="I36" s="2"/>
      <x:c r="J36" s="2"/>
      <x:c r="K36" s="2"/>
      <x:c r="L36" s="2"/>
      <x:c r="M36" s="2"/>
      <x:c r="N36" s="2"/>
    </x:row>
    <x:row r="37" ht="24" customHeight="1">
      <x:c r="A37" s="2"/>
      <x:c r="B37" s="2"/>
      <x:c r="C37" s="2"/>
      <x:c r="D37" s="2"/>
      <x:c r="E37" s="2"/>
      <x:c r="F37" s="2"/>
      <x:c r="G37" s="2"/>
      <x:c r="H37" s="2"/>
      <x:c r="I37" s="2"/>
      <x:c r="J37" s="2"/>
      <x:c r="K37" s="2"/>
      <x:c r="L37" s="2"/>
      <x:c r="M37" s="2"/>
      <x:c r="N37" s="2"/>
    </x:row>
    <x:row r="38" ht="24" customHeight="1">
      <x:c r="A38" s="2"/>
      <x:c r="B38" s="2"/>
      <x:c r="C38" s="2"/>
      <x:c r="D38" s="2"/>
      <x:c r="E38" s="2"/>
      <x:c r="F38" s="2"/>
      <x:c r="G38" s="2"/>
      <x:c r="H38" s="2"/>
      <x:c r="I38" s="2"/>
      <x:c r="J38" s="2"/>
      <x:c r="K38" s="2"/>
      <x:c r="L38" s="2"/>
      <x:c r="M38" s="2"/>
      <x:c r="N38" s="2"/>
    </x:row>
    <x:row r="39" ht="24" customHeight="1">
      <x:c r="A39" s="2"/>
      <x:c r="B39" s="2"/>
      <x:c r="C39" s="2"/>
      <x:c r="D39" s="2"/>
      <x:c r="E39" s="2"/>
      <x:c r="F39" s="2"/>
      <x:c r="G39" s="2"/>
      <x:c r="H39" s="2"/>
      <x:c r="I39" s="2"/>
      <x:c r="J39" s="2"/>
      <x:c r="K39" s="2"/>
      <x:c r="L39" s="2"/>
      <x:c r="M39" s="2"/>
      <x:c r="N39" s="2"/>
    </x:row>
    <x:row r="40" ht="24" customHeight="1">
      <x:c r="A40" s="2"/>
      <x:c r="B40" s="2"/>
      <x:c r="C40" s="2"/>
      <x:c r="D40" s="2"/>
      <x:c r="E40" s="2"/>
      <x:c r="F40" s="2"/>
      <x:c r="G40" s="2"/>
      <x:c r="H40" s="2"/>
      <x:c r="I40" s="2"/>
      <x:c r="J40" s="2"/>
      <x:c r="K40" s="2"/>
      <x:c r="L40" s="2"/>
      <x:c r="M40" s="2"/>
      <x:c r="N40" s="2"/>
    </x:row>
    <x:row r="41" ht="24" customHeight="1">
      <x:c r="A41" s="2"/>
      <x:c r="B41" s="2"/>
      <x:c r="C41" s="2"/>
      <x:c r="D41" s="2"/>
      <x:c r="E41" s="2"/>
      <x:c r="F41" s="2"/>
      <x:c r="G41" s="2"/>
      <x:c r="H41" s="2"/>
      <x:c r="I41" s="2"/>
      <x:c r="J41" s="2"/>
      <x:c r="K41" s="2"/>
      <x:c r="L41" s="2"/>
      <x:c r="M41" s="2"/>
      <x:c r="N41" s="2"/>
    </x:row>
    <x:row r="42" ht="24" customHeight="1">
      <x:c r="A42" s="2"/>
      <x:c r="B42" s="2"/>
      <x:c r="C42" s="2"/>
      <x:c r="D42" s="2"/>
      <x:c r="E42" s="2"/>
      <x:c r="F42" s="2"/>
      <x:c r="G42" s="2"/>
      <x:c r="H42" s="2"/>
      <x:c r="I42" s="2"/>
      <x:c r="J42" s="2"/>
      <x:c r="K42" s="2"/>
      <x:c r="L42" s="2"/>
      <x:c r="M42" s="2"/>
      <x:c r="N42" s="2"/>
    </x:row>
  </x:sheetData>
  <x:conditionalFormatting sqref="E15:E15">
    <x:cfRule type="containsText" dxfId="20" priority="1" operator="containsText" text="확인"/>
  </x:conditionalFormatting>
  <x:pageMargins left="0.7" right="0.7" top="0.75" bottom="0.75" header="0.3" footer="0.3"/>
  <x:drawing xmlns:r="http://schemas.openxmlformats.org/officeDocument/2006/relationships" r:id="Rc985c6fa29654923"/>
</x:worksheet>
</file>

<file path=xl/worksheets/sheet6.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39" hidden="0" customWidth="1"/>
    <x:col min="4" max="4" width="20" hidden="0" customWidth="1"/>
    <x:col min="5" max="5" width="26" hidden="0" customWidth="1"/>
    <x:col min="6" max="6" width="23" hidden="0" customWidth="1"/>
    <x:col min="7" max="7" width="51" hidden="0" customWidth="1"/>
    <x:col min="8" max="8" width="23" hidden="0" customWidth="1"/>
    <x:col min="9" max="9" width="21" hidden="0" customWidth="1"/>
    <x:col min="10" max="10" width="22" hidden="0" customWidth="1"/>
  </x:cols>
  <x:sheetData>
    <x:row r="1" ht="24" customHeight="1">
      <x:c r="A1" s="2"/>
      <x:c r="B1" s="2"/>
      <x:c r="C1" s="2"/>
      <x:c r="D1" s="2"/>
      <x:c r="E1" s="2"/>
      <x:c r="F1" s="2"/>
      <x:c r="G1" s="2"/>
      <x:c r="H1" s="2"/>
      <x:c r="I1" s="2"/>
      <x:c r="J1" s="2"/>
    </x:row>
    <x:row r="2" ht="24" customHeight="1">
      <x:c r="A2" s="2"/>
      <x:c r="B2" s="2"/>
      <x:c r="C2" s="3" t="str">
        <x:v>가격·가정이 요구하는 로봇 사업 매출 역산</x:v>
      </x:c>
      <x:c r="D2" s="3"/>
      <x:c r="E2" s="3"/>
      <x:c r="F2" s="3"/>
      <x:c r="G2" s="3"/>
      <x:c r="H2" s="3"/>
      <x:c r="I2" s="3"/>
      <x:c r="J2" s="3"/>
    </x:row>
    <x:row r="3" ht="24" customHeight="1">
      <x:c r="A3" s="2"/>
      <x:c r="B3" s="2"/>
      <x:c r="C3" s="2"/>
      <x:c r="D3" s="2"/>
      <x:c r="E3" s="2"/>
      <x:c r="F3" s="2"/>
      <x:c r="G3" s="2"/>
      <x:c r="H3" s="2"/>
      <x:c r="I3" s="2"/>
      <x:c r="J3" s="2"/>
    </x:row>
    <x:row r="4" ht="24" customHeight="1">
      <x:c r="A4" s="2"/>
      <x:c r="B4" s="2"/>
      <x:c r="C4" s="4" t="str">
        <x:v>초기값은 본문과 같습니다. Tesla·NVIDIA는 자기자본/PER, UBTECH는 기업가치/EV·EBIT 방식입니다.</x:v>
      </x:c>
      <x:c r="D4" s="2"/>
      <x:c r="E4" s="2"/>
      <x:c r="F4" s="2"/>
      <x:c r="G4" s="2"/>
      <x:c r="H4" s="2"/>
      <x:c r="I4" s="2"/>
      <x:c r="J4" s="2"/>
    </x:row>
    <x:row r="5" ht="24" customHeight="1">
      <x:c r="A5" s="2"/>
      <x:c r="B5" s="2"/>
      <x:c r="C5" s="2"/>
      <x:c r="D5" s="2"/>
      <x:c r="E5" s="2"/>
      <x:c r="F5" s="2"/>
      <x:c r="G5" s="2"/>
      <x:c r="H5" s="2"/>
      <x:c r="I5" s="2"/>
      <x:c r="J5" s="2"/>
    </x:row>
    <x:row r="6" ht="34" customHeight="1">
      <x:c r="A6" s="2"/>
      <x:c r="B6" s="2"/>
      <x:c r="C6" s="8" t="str">
        <x:v>Tesla 주가·주식수 조건</x:v>
      </x:c>
      <x:c r="D6" s="8" t="str">
        <x:v>단위</x:v>
      </x:c>
      <x:c r="E6" s="8" t="str">
        <x:v>값</x:v>
      </x:c>
      <x:c r="F6" s="2"/>
      <x:c r="G6" s="2"/>
      <x:c r="H6" s="2"/>
      <x:c r="I6" s="2"/>
      <x:c r="J6" s="2"/>
    </x:row>
    <x:row r="7" ht="24" customHeight="1">
      <x:c r="A7" s="2"/>
      <x:c r="B7" s="2"/>
      <x:c r="C7" s="2" t="str">
        <x:v>확인된 참고 주가</x:v>
      </x:c>
      <x:c r="D7" s="2" t="str">
        <x:v>USD/주</x:v>
      </x:c>
      <x:c r="E7" s="55" t="n">
        <x:f>IF(COUNTIF('재무'!$M$7:$M$367,"Tesla.price")&lt;&gt;1,"자료키 확인",IF(ISNUMBER(INDEX('재무'!$H$7:$H$367,MATCH("Tesla.price",'재무'!$M$7:$M$367,0))),INDEX('재무'!$H$7:$H$367,MATCH("Tesla.price",'재무'!$M$7:$M$367,0))/1,"미확인"))</x:f>
        <x:v>358.08</x:v>
      </x:c>
      <x:c r="F7" s="2"/>
      <x:c r="G7" s="4" t="str">
        <x:v>2026-09-16 미국 종가. 재무 대장 원문에 연결</x:v>
      </x:c>
      <x:c r="H7" s="2"/>
      <x:c r="I7" s="2"/>
      <x:c r="J7" s="2"/>
    </x:row>
    <x:row r="8" ht="24" customHeight="1">
      <x:c r="A8" s="2"/>
      <x:c r="B8" s="2"/>
      <x:c r="C8" s="2" t="str">
        <x:v>가정 주식 수 (현재 주식수 아님)</x:v>
      </x:c>
      <x:c r="D8" s="2" t="str">
        <x:v>십억 주</x:v>
      </x:c>
      <x:c r="E8" s="33" t="n">
        <x:v>3.54</x:v>
      </x:c>
      <x:c r="F8" s="2"/>
      <x:c r="G8" s="4" t="str">
        <x:v>3.54bn은 EPS용 가중평균 희석 주식 수의 가정</x:v>
      </x:c>
      <x:c r="H8" s="2"/>
      <x:c r="I8" s="2"/>
      <x:c r="J8" s="2"/>
    </x:row>
    <x:row r="9" ht="24" customHeight="1">
      <x:c r="A9" s="2"/>
      <x:c r="B9" s="2"/>
      <x:c r="C9" s="2" t="str">
        <x:v>참고 자기자본 가치</x:v>
      </x:c>
      <x:c r="D9" s="2" t="str">
        <x:v>USD 십억</x:v>
      </x:c>
      <x:c r="E9" s="21" t="n">
        <x:f>IF(COUNT(E7:E8)=2,E7*E8,"시세·가정 입력 필요")</x:f>
        <x:v>1267.6032</x:v>
      </x:c>
      <x:c r="F9" s="2"/>
      <x:c r="G9" s="4" t="str">
        <x:v>참고 지분가치입니다. 현재 시가총액이 아닙니다.</x:v>
      </x:c>
      <x:c r="H9" s="2"/>
      <x:c r="I9" s="2"/>
      <x:c r="J9" s="2"/>
    </x:row>
    <x:row r="10" ht="24" customHeight="1">
      <x:c r="A10" s="2"/>
      <x:c r="B10" s="2"/>
      <x:c r="C10" s="2" t="str">
        <x:v>검증된 현재 시가총액</x:v>
      </x:c>
      <x:c r="D10" s="2" t="str">
        <x:v>USD 십억</x:v>
      </x:c>
      <x:c r="E10" s="41" t="str">
        <x:f>IF(COUNTIF('재무'!$M$7:$M$367,"Tesla.market_cap")&lt;&gt;1,"자료키 확인",IF(ISNUMBER(INDEX('재무'!$H$7:$H$367,MATCH("Tesla.market_cap",'재무'!$M$7:$M$367,0))),INDEX('재무'!$H$7:$H$367,MATCH("Tesla.market_cap",'재무'!$M$7:$M$367,0))/1000,"미확인"))</x:f>
        <x:v>미확인</x:v>
      </x:c>
      <x:c r="F10" s="2"/>
      <x:c r="G10" s="4" t="str">
        <x:v>자기자본에서 현금·차입금을 다시 조정하지 않습니다.</x:v>
      </x:c>
      <x:c r="H10" s="2"/>
      <x:c r="I10" s="2"/>
      <x:c r="J10" s="2"/>
    </x:row>
    <x:row r="11" ht="24" customHeight="1">
      <x:c r="A11" s="2"/>
      <x:c r="B11" s="2"/>
      <x:c r="C11" s="2"/>
      <x:c r="D11" s="2"/>
      <x:c r="E11" s="2"/>
      <x:c r="F11" s="2"/>
      <x:c r="G11" s="2"/>
      <x:c r="H11" s="2"/>
      <x:c r="I11" s="2"/>
      <x:c r="J11" s="2"/>
    </x:row>
    <x:row r="12" ht="34" customHeight="1">
      <x:c r="A12" s="2"/>
      <x:c r="B12" s="2"/>
      <x:c r="C12" s="8" t="str">
        <x:v>Tesla 조건부 가정</x:v>
      </x:c>
      <x:c r="D12" s="8" t="str">
        <x:v>단위</x:v>
      </x:c>
      <x:c r="E12" s="8" t="str">
        <x:v>값</x:v>
      </x:c>
      <x:c r="F12" s="2"/>
      <x:c r="G12" s="2"/>
      <x:c r="H12" s="2"/>
      <x:c r="I12" s="2"/>
      <x:c r="J12" s="2"/>
    </x:row>
    <x:row r="13" ht="24" customHeight="1">
      <x:c r="A13" s="2"/>
      <x:c r="B13" s="2"/>
      <x:c r="C13" s="2" t="str">
        <x:v>기존 사업에 배분한 자기자본 가치</x:v>
      </x:c>
      <x:c r="D13" s="2" t="str">
        <x:v>USD 십억</x:v>
      </x:c>
      <x:c r="E13" s="33" t="n">
        <x:v>600</x:v>
      </x:c>
      <x:c r="F13" s="2"/>
      <x:c r="G13" s="2"/>
      <x:c r="H13" s="2"/>
      <x:c r="I13" s="2"/>
      <x:c r="J13" s="2"/>
    </x:row>
    <x:row r="14" ht="24" customHeight="1">
      <x:c r="A14" s="2"/>
      <x:c r="B14" s="2"/>
      <x:c r="C14" s="2" t="str">
        <x:v>목표 실현 기간 (2036년)</x:v>
      </x:c>
      <x:c r="D14" s="2" t="str">
        <x:v>년</x:v>
      </x:c>
      <x:c r="E14" s="29" t="n">
        <x:v>10</x:v>
      </x:c>
      <x:c r="F14" s="2"/>
      <x:c r="G14" s="2"/>
      <x:c r="H14" s="2"/>
      <x:c r="I14" s="2"/>
      <x:c r="J14" s="2"/>
    </x:row>
    <x:row r="15" ht="24" customHeight="1">
      <x:c r="A15" s="2"/>
      <x:c r="B15" s="2"/>
      <x:c r="C15" s="2" t="str">
        <x:v>요구 수익률</x:v>
      </x:c>
      <x:c r="D15" s="2" t="str">
        <x:v>%</x:v>
      </x:c>
      <x:c r="E15" s="31" t="n">
        <x:v>0.12</x:v>
      </x:c>
      <x:c r="F15" s="2"/>
      <x:c r="G15" s="2"/>
      <x:c r="H15" s="2"/>
      <x:c r="I15" s="2"/>
      <x:c r="J15" s="2"/>
    </x:row>
    <x:row r="16" ht="24" customHeight="1">
      <x:c r="A16" s="2"/>
      <x:c r="B16" s="2"/>
      <x:c r="C16" s="2" t="str">
        <x:v>말기 로봇 사업 PER</x:v>
      </x:c>
      <x:c r="D16" s="2" t="str">
        <x:v>배</x:v>
      </x:c>
      <x:c r="E16" s="33" t="n">
        <x:v>30</x:v>
      </x:c>
      <x:c r="F16" s="2"/>
      <x:c r="G16" s="2"/>
      <x:c r="H16" s="2"/>
      <x:c r="I16" s="2"/>
      <x:c r="J16" s="2"/>
    </x:row>
    <x:row r="17" ht="24" customHeight="1">
      <x:c r="A17" s="2"/>
      <x:c r="B17" s="2"/>
      <x:c r="C17" s="2" t="str">
        <x:v>말기 로봇 순이익률</x:v>
      </x:c>
      <x:c r="D17" s="2" t="str">
        <x:v>%</x:v>
      </x:c>
      <x:c r="E17" s="31" t="n">
        <x:v>0.2</x:v>
      </x:c>
      <x:c r="F17" s="2"/>
      <x:c r="G17" s="2"/>
      <x:c r="H17" s="2"/>
      <x:c r="I17" s="2"/>
      <x:c r="J17" s="2"/>
    </x:row>
    <x:row r="18" ht="24" customHeight="1">
      <x:c r="A18" s="2"/>
      <x:c r="B18" s="2"/>
      <x:c r="C18" s="2" t="str">
        <x:v>기체 환산 ASP</x:v>
      </x:c>
      <x:c r="D18" s="2" t="str">
        <x:v>USD</x:v>
      </x:c>
      <x:c r="E18" s="27" t="n">
        <x:v>30000</x:v>
      </x:c>
      <x:c r="F18" s="2"/>
      <x:c r="G18" s="2"/>
      <x:c r="H18" s="2"/>
      <x:c r="I18" s="2"/>
      <x:c r="J18" s="2"/>
    </x:row>
    <x:row r="19" ht="24" customHeight="1">
      <x:c r="A19" s="2"/>
      <x:c r="B19" s="2"/>
      <x:c r="C19" s="2" t="str">
        <x:v>2036 세계 연 출하 가정</x:v>
      </x:c>
      <x:c r="D19" s="2" t="str">
        <x:v>대</x:v>
      </x:c>
      <x:c r="E19" s="29" t="n">
        <x:v>20000000</x:v>
      </x:c>
      <x:c r="F19" s="2"/>
      <x:c r="G19" s="4" t="str">
        <x:v>20m은 역산 조건. 시장모형의 2035 출하와 별개</x:v>
      </x:c>
      <x:c r="H19" s="2"/>
      <x:c r="I19" s="2"/>
      <x:c r="J19" s="2"/>
    </x:row>
    <x:row r="20" ht="24" customHeight="1">
      <x:c r="A20" s="2"/>
      <x:c r="B20" s="2"/>
      <x:c r="C20" s="2" t="str">
        <x:v>추가 발행 주식/기준 주식</x:v>
      </x:c>
      <x:c r="D20" s="2" t="str">
        <x:v>%</x:v>
      </x:c>
      <x:c r="E20" s="31" t="n">
        <x:v>0</x:v>
      </x:c>
      <x:c r="F20" s="2"/>
      <x:c r="G20" s="4" t="str">
        <x:v>본문은 추가 희석 0%. 값을 바꾸어 스트레스 검증</x:v>
      </x:c>
      <x:c r="H20" s="2"/>
      <x:c r="I20" s="2"/>
      <x:c r="J20" s="2"/>
    </x:row>
    <x:row r="21" ht="24" customHeight="1">
      <x:c r="A21" s="2"/>
      <x:c r="B21" s="2"/>
      <x:c r="C21" s="2" t="str">
        <x:v>출발 로봇 사업 매출</x:v>
      </x:c>
      <x:c r="D21" s="2" t="str">
        <x:v>USD 십억</x:v>
      </x:c>
      <x:c r="E21" s="33"/>
      <x:c r="F21" s="2"/>
      <x:c r="G21" s="4" t="str">
        <x:v>미공개 출발 매출로 CAGR을 만들지 않습니다.</x:v>
      </x:c>
      <x:c r="H21" s="2"/>
      <x:c r="I21" s="2"/>
      <x:c r="J21" s="2"/>
    </x:row>
    <x:row r="22" ht="24" customHeight="1">
      <x:c r="A22" s="2"/>
      <x:c r="B22" s="2"/>
      <x:c r="C22" s="2" t="str">
        <x:v>참고 목표 점유율</x:v>
      </x:c>
      <x:c r="D22" s="2" t="str">
        <x:v>%</x:v>
      </x:c>
      <x:c r="E22" s="31" t="n">
        <x:v>0.1</x:v>
      </x:c>
      <x:c r="F22" s="2"/>
      <x:c r="G22" s="2"/>
      <x:c r="H22" s="2"/>
      <x:c r="I22" s="2"/>
      <x:c r="J22" s="2"/>
    </x:row>
    <x:row r="23" ht="24" customHeight="1">
      <x:c r="A23" s="2"/>
      <x:c r="B23" s="2"/>
      <x:c r="C23" s="2"/>
      <x:c r="D23" s="2"/>
      <x:c r="E23" s="2"/>
      <x:c r="F23" s="2"/>
      <x:c r="G23" s="2"/>
      <x:c r="H23" s="2"/>
      <x:c r="I23" s="2"/>
      <x:c r="J23" s="2"/>
    </x:row>
    <x:row r="24" ht="24" customHeight="1">
      <x:c r="A24" s="2"/>
      <x:c r="B24" s="2"/>
      <x:c r="C24" s="2" t="str">
        <x:v>입력 유효성</x:v>
      </x:c>
      <x:c r="D24" s="2"/>
      <x:c r="E24" s="9" t="str">
        <x:f>IF(COUNT(E7:E8)&lt;2,"시세·가정 입력 필요",IF(OR(COUNT(E13:E20)&lt;8,NOT(ISNUMBER(E22))),"가정 입력 필요",IF(OR(MIN(E7:E8)&lt;0,MIN(E13:E20)&lt;0,E8=0,E14=0,E16=0,E17=0,E17&gt;1,E18=0,E19=0,E22&lt;=0,E22&gt;1),"입력 범위 확인","입력 유효")))</x:f>
        <x:v>입력 유효</x:v>
      </x:c>
      <x:c r="F24" s="2"/>
      <x:c r="G24" s="2"/>
      <x:c r="H24" s="2"/>
      <x:c r="I24" s="2"/>
      <x:c r="J24" s="2"/>
    </x:row>
    <x:row r="25" ht="24" customHeight="1">
      <x:c r="A25" s="2"/>
      <x:c r="B25" s="2"/>
      <x:c r="C25" s="2"/>
      <x:c r="D25" s="2"/>
      <x:c r="E25" s="2"/>
      <x:c r="F25" s="2"/>
      <x:c r="G25" s="2"/>
      <x:c r="H25" s="2"/>
      <x:c r="I25" s="2"/>
      <x:c r="J25" s="2"/>
    </x:row>
    <x:row r="26" ht="34" customHeight="1">
      <x:c r="A26" s="2"/>
      <x:c r="B26" s="2"/>
      <x:c r="C26" s="8" t="str">
        <x:v>Tesla 중간 조건의 결과</x:v>
      </x:c>
      <x:c r="D26" s="8" t="str">
        <x:v>단위</x:v>
      </x:c>
      <x:c r="E26" s="8" t="str">
        <x:v>계산값</x:v>
      </x:c>
      <x:c r="F26" s="2"/>
      <x:c r="G26" s="2"/>
      <x:c r="H26" s="2"/>
      <x:c r="I26" s="2"/>
      <x:c r="J26" s="2"/>
    </x:row>
    <x:row r="27" ht="24" customHeight="1">
      <x:c r="A27" s="2"/>
      <x:c r="B27" s="2"/>
      <x:c r="C27" s="2" t="str">
        <x:v>현재 로봇 배분 지분가치</x:v>
      </x:c>
      <x:c r="D27" s="2" t="str">
        <x:v>USD 십억</x:v>
      </x:c>
      <x:c r="E27" s="21" t="n">
        <x:f>IF(E24="입력 유효",MAX(0,E9-E13),E24)</x:f>
        <x:v>667.6032</x:v>
      </x:c>
      <x:c r="F27" s="2"/>
      <x:c r="G27" s="2"/>
      <x:c r="H27" s="2"/>
      <x:c r="I27" s="2"/>
      <x:c r="J27" s="2"/>
    </x:row>
    <x:row r="28" ht="24" customHeight="1">
      <x:c r="A28" s="2"/>
      <x:c r="B28" s="2"/>
      <x:c r="C28" s="2" t="str">
        <x:v>희석 반영 말기 요구 지분가치</x:v>
      </x:c>
      <x:c r="D28" s="2" t="str">
        <x:v>USD 십억</x:v>
      </x:c>
      <x:c r="E28" s="21" t="n">
        <x:f>IF(E24="입력 유효",E27*(1+E15)^E14*(1+E20),E24)</x:f>
        <x:v>2073.4742026048625</x:v>
      </x:c>
      <x:c r="F28" s="2"/>
      <x:c r="G28" s="2"/>
      <x:c r="H28" s="2"/>
      <x:c r="I28" s="2"/>
      <x:c r="J28" s="2"/>
    </x:row>
    <x:row r="29" ht="24" customHeight="1">
      <x:c r="A29" s="2"/>
      <x:c r="B29" s="2"/>
      <x:c r="C29" s="2" t="str">
        <x:v>요구 연간 순이익</x:v>
      </x:c>
      <x:c r="D29" s="2" t="str">
        <x:v>USD 십억</x:v>
      </x:c>
      <x:c r="E29" s="21" t="n">
        <x:f>IF(E24="입력 유효",E28/E16,E24)</x:f>
        <x:v>69.11580675349542</x:v>
      </x:c>
      <x:c r="F29" s="2"/>
      <x:c r="G29" s="2"/>
      <x:c r="H29" s="2"/>
      <x:c r="I29" s="2"/>
      <x:c r="J29" s="2"/>
    </x:row>
    <x:row r="30" ht="24" customHeight="1">
      <x:c r="A30" s="2"/>
      <x:c r="B30" s="2"/>
      <x:c r="C30" s="2" t="str">
        <x:v>요구 2036 연 매출</x:v>
      </x:c>
      <x:c r="D30" s="2" t="str">
        <x:v>USD 십억</x:v>
      </x:c>
      <x:c r="E30" s="21" t="n">
        <x:f>IF(E24="입력 유효",E29/E17,E24)</x:f>
        <x:v>345.5790337674771</x:v>
      </x:c>
      <x:c r="F30" s="2"/>
      <x:c r="G30" s="2"/>
      <x:c r="H30" s="2"/>
      <x:c r="I30" s="2"/>
      <x:c r="J30" s="2"/>
    </x:row>
    <x:row r="31" ht="24" customHeight="1">
      <x:c r="A31" s="2"/>
      <x:c r="B31" s="2"/>
      <x:c r="C31" s="2" t="str">
        <x:v>요구 연 출하 환산량</x:v>
      </x:c>
      <x:c r="D31" s="2" t="str">
        <x:v>대</x:v>
      </x:c>
      <x:c r="E31" s="15" t="n">
        <x:f>IF(E24="입력 유효",E30*1000000000/E18,E24)</x:f>
        <x:v>11519301.12558257</x:v>
      </x:c>
      <x:c r="F31" s="2"/>
      <x:c r="G31" s="2"/>
      <x:c r="H31" s="2"/>
      <x:c r="I31" s="2"/>
      <x:c r="J31" s="2"/>
    </x:row>
    <x:row r="32" ht="24" customHeight="1">
      <x:c r="A32" s="2"/>
      <x:c r="B32" s="2"/>
      <x:c r="C32" s="2" t="str">
        <x:v>세계 출하 대비 요구 점유율</x:v>
      </x:c>
      <x:c r="D32" s="2" t="str">
        <x:v>%</x:v>
      </x:c>
      <x:c r="E32" s="23" t="n">
        <x:f>IF(E24="입력 유효",E31/E19,E24)</x:f>
        <x:v>0.5759650562791285</x:v>
      </x:c>
      <x:c r="F32" s="2"/>
      <x:c r="G32" s="2"/>
      <x:c r="H32" s="2"/>
      <x:c r="I32" s="2"/>
      <x:c r="J32" s="2"/>
    </x:row>
    <x:row r="33" ht="24" customHeight="1">
      <x:c r="A33" s="2"/>
      <x:c r="B33" s="2"/>
      <x:c r="C33" s="2" t="str">
        <x:v>공개 출발 매출 대비 요구 CAGR</x:v>
      </x:c>
      <x:c r="D33" s="2" t="str">
        <x:v>%</x:v>
      </x:c>
      <x:c r="E33" s="23" t="str">
        <x:f>IF(E24="입력 유효",IF(NOT(ISNUMBER(E21)),"출발 매출 미확인",IF(E21&lt;=0,"출발 매출 양수 필요",(E30/E21)^(1/E14)-1)),E24)</x:f>
        <x:v>출발 매출 미확인</x:v>
      </x:c>
      <x:c r="F33" s="2"/>
      <x:c r="G33" s="2"/>
      <x:c r="H33" s="2"/>
      <x:c r="I33" s="2"/>
      <x:c r="J33" s="2"/>
    </x:row>
    <x:row r="34" ht="24" customHeight="1">
      <x:c r="A34" s="2"/>
      <x:c r="B34" s="2"/>
      <x:c r="C34" s="2" t="str">
        <x:v>참고 점유율에서 요구 순이익률</x:v>
      </x:c>
      <x:c r="D34" s="2" t="str">
        <x:v>%</x:v>
      </x:c>
      <x:c r="E34" s="23" t="n">
        <x:f>IF(E24="입력 유효",E29/(E19*E22*E18/1000000000),E24)</x:f>
        <x:v>1.151930112558257</x:v>
      </x:c>
      <x:c r="F34" s="2"/>
      <x:c r="G34" s="2"/>
      <x:c r="H34" s="2"/>
      <x:c r="I34" s="2"/>
      <x:c r="J34" s="2"/>
    </x:row>
    <x:row r="35" ht="24" customHeight="1">
      <x:c r="A35" s="2"/>
      <x:c r="B35" s="2"/>
      <x:c r="C35" s="2"/>
      <x:c r="D35" s="2"/>
      <x:c r="E35" s="2"/>
      <x:c r="F35" s="2"/>
      <x:c r="G35" s="2"/>
      <x:c r="H35" s="2"/>
      <x:c r="I35" s="2"/>
      <x:c r="J35" s="2"/>
    </x:row>
    <x:row r="36" ht="24" customHeight="1">
      <x:c r="A36" s="2"/>
      <x:c r="B36" s="2"/>
      <x:c r="C36" s="2"/>
      <x:c r="D36" s="2"/>
      <x:c r="E36" s="2"/>
      <x:c r="F36" s="2"/>
      <x:c r="G36" s="2"/>
      <x:c r="H36" s="2"/>
      <x:c r="I36" s="2"/>
      <x:c r="J36" s="2"/>
    </x:row>
    <x:row r="37" ht="24" customHeight="1">
      <x:c r="A37" s="2"/>
      <x:c r="B37" s="2"/>
      <x:c r="C37" s="4" t="str">
        <x:v>기존 사업 배분이 로봇 잔여가치를 바꿉니다. 아래 비교는 확인된 시장 배분이 아니라 같은 모델의 조건 비교입니다.</x:v>
      </x:c>
      <x:c r="D37" s="2"/>
      <x:c r="E37" s="2"/>
      <x:c r="F37" s="2"/>
      <x:c r="G37" s="2"/>
      <x:c r="H37" s="2"/>
      <x:c r="I37" s="2"/>
      <x:c r="J37" s="2"/>
    </x:row>
    <x:row r="38" ht="24" customHeight="1">
      <x:c r="A38" s="2"/>
      <x:c r="B38" s="2"/>
      <x:c r="C38" s="2"/>
      <x:c r="D38" s="2"/>
      <x:c r="E38" s="2"/>
      <x:c r="F38" s="2"/>
      <x:c r="G38" s="2"/>
      <x:c r="H38" s="2"/>
      <x:c r="I38" s="2"/>
      <x:c r="J38" s="2"/>
    </x:row>
    <x:row r="39" ht="24" customHeight="1">
      <x:c r="A39" s="2"/>
      <x:c r="B39" s="2"/>
      <x:c r="C39" s="2"/>
      <x:c r="D39" s="2"/>
      <x:c r="E39" s="2"/>
      <x:c r="F39" s="2"/>
      <x:c r="G39" s="2"/>
      <x:c r="H39" s="2"/>
      <x:c r="I39" s="2"/>
      <x:c r="J39" s="2"/>
    </x:row>
    <x:row r="40" ht="24" customHeight="1">
      <x:c r="A40" s="2"/>
      <x:c r="B40" s="2"/>
      <x:c r="C40" s="2" t="str">
        <x:v>지분가치 1당 요구 말기 매출</x:v>
      </x:c>
      <x:c r="D40" s="2"/>
      <x:c r="E40" s="21" t="n">
        <x:f>IF(E24="입력 유효",(1+E15)^E14*(1+E20)/E16/E17,E24)</x:f>
        <x:v>0.5176413680573686</x:v>
      </x:c>
      <x:c r="F40" s="2"/>
      <x:c r="G40" s="2"/>
      <x:c r="H40" s="2"/>
      <x:c r="I40" s="2"/>
      <x:c r="J40" s="2"/>
    </x:row>
    <x:row r="41" ht="24" customHeight="1">
      <x:c r="A41" s="2"/>
      <x:c r="B41" s="2"/>
      <x:c r="C41" s="2"/>
      <x:c r="D41" s="2"/>
      <x:c r="E41" s="2"/>
      <x:c r="F41" s="2"/>
      <x:c r="G41" s="2"/>
      <x:c r="H41" s="2"/>
      <x:c r="I41" s="2"/>
      <x:c r="J41" s="2"/>
    </x:row>
    <x:row r="42" ht="34" customHeight="1">
      <x:c r="A42" s="2"/>
      <x:c r="B42" s="2"/>
      <x:c r="C42" s="8" t="str">
        <x:v>기존 사업 가치 (USD bn)</x:v>
      </x:c>
      <x:c r="D42" s="8" t="str">
        <x:v>로봇 배분 (USD bn)</x:v>
      </x:c>
      <x:c r="E42" s="8" t="str">
        <x:v>요구 매출 (USD bn)</x:v>
      </x:c>
      <x:c r="F42" s="8" t="str">
        <x:v>연 환산 출하</x:v>
      </x:c>
      <x:c r="G42" s="8" t="str">
        <x:v>20m 대비 점유율</x:v>
      </x:c>
      <x:c r="H42" s="2"/>
      <x:c r="I42" s="2"/>
      <x:c r="J42" s="2"/>
    </x:row>
    <x:row r="43" ht="24" customHeight="1">
      <x:c r="A43" s="2"/>
      <x:c r="B43" s="2"/>
      <x:c r="C43" s="33" t="n">
        <x:v>300</x:v>
      </x:c>
      <x:c r="D43" s="21" t="n">
        <x:f>IF(AND($E$24="입력 유효",ISNUMBER(C43),C43&gt;=0),MAX(0,$E$9-C43),"입력 확인")</x:f>
        <x:v>967.6032</x:v>
      </x:c>
      <x:c r="E43" s="21" t="n">
        <x:f>IF(ISNUMBER(D43),D43*$E$40,"입력 확인")</x:f>
        <x:v>500.8714441846877</x:v>
      </x:c>
      <x:c r="F43" s="15" t="n">
        <x:f>IF(ISNUMBER(E43),E43*1000000000/$E$18,"입력 확인")</x:f>
        <x:v>16695714.806156255</x:v>
      </x:c>
      <x:c r="G43" s="23" t="n">
        <x:f>IF(ISNUMBER(F43),F43/$E$19,"입력 확인")</x:f>
        <x:v>0.8347857403078127</x:v>
      </x:c>
      <x:c r="H43" s="2"/>
      <x:c r="I43" s="2"/>
      <x:c r="J43" s="2"/>
    </x:row>
    <x:row r="44" ht="24" customHeight="1">
      <x:c r="A44" s="2"/>
      <x:c r="B44" s="2"/>
      <x:c r="C44" s="21" t="n">
        <x:f>$E$13</x:f>
        <x:v>600</x:v>
      </x:c>
      <x:c r="D44" s="21" t="n">
        <x:f>IF(AND($E$24="입력 유효",ISNUMBER(C44),C44&gt;=0),MAX(0,$E$9-C44),"입력 확인")</x:f>
        <x:v>667.6032</x:v>
      </x:c>
      <x:c r="E44" s="21" t="n">
        <x:f>IF(ISNUMBER(D44),D44*$E$40,"입력 확인")</x:f>
        <x:v>345.5790337674771</x:v>
      </x:c>
      <x:c r="F44" s="15" t="n">
        <x:f>IF(ISNUMBER(E44),E44*1000000000/$E$18,"입력 확인")</x:f>
        <x:v>11519301.12558257</x:v>
      </x:c>
      <x:c r="G44" s="23" t="n">
        <x:f>IF(ISNUMBER(F44),F44/$E$19,"입력 확인")</x:f>
        <x:v>0.5759650562791285</x:v>
      </x:c>
      <x:c r="H44" s="2"/>
      <x:c r="I44" s="2"/>
      <x:c r="J44" s="2"/>
    </x:row>
    <x:row r="45" ht="24" customHeight="1">
      <x:c r="A45" s="2"/>
      <x:c r="B45" s="2"/>
      <x:c r="C45" s="33" t="n">
        <x:v>900</x:v>
      </x:c>
      <x:c r="D45" s="21" t="n">
        <x:f>IF(AND($E$24="입력 유효",ISNUMBER(C45),C45&gt;=0),MAX(0,$E$9-C45),"입력 확인")</x:f>
        <x:v>367.6032</x:v>
      </x:c>
      <x:c r="E45" s="21" t="n">
        <x:f>IF(ISNUMBER(D45),D45*$E$40,"입력 확인")</x:f>
        <x:v>190.2866233502665</x:v>
      </x:c>
      <x:c r="F45" s="15" t="n">
        <x:f>IF(ISNUMBER(E45),E45*1000000000/$E$18,"입력 확인")</x:f>
        <x:v>6342887.445008883</x:v>
      </x:c>
      <x:c r="G45" s="23" t="n">
        <x:f>IF(ISNUMBER(F45),F45/$E$19,"입력 확인")</x:f>
        <x:v>0.3171443722504442</x:v>
      </x:c>
      <x:c r="H45" s="2"/>
      <x:c r="I45" s="2"/>
      <x:c r="J45" s="2"/>
    </x:row>
    <x:row r="46" ht="24" customHeight="1">
      <x:c r="A46" s="2"/>
      <x:c r="B46" s="2"/>
      <x:c r="C46" s="2"/>
      <x:c r="D46" s="2"/>
      <x:c r="E46" s="2"/>
      <x:c r="F46" s="2"/>
      <x:c r="G46" s="2"/>
      <x:c r="H46" s="2"/>
      <x:c r="I46" s="2"/>
      <x:c r="J46" s="2"/>
    </x:row>
    <x:row r="47" ht="24" customHeight="1">
      <x:c r="A47" s="2"/>
      <x:c r="B47" s="2"/>
      <x:c r="C47" s="2"/>
      <x:c r="D47" s="2"/>
      <x:c r="E47" s="2"/>
      <x:c r="F47" s="2"/>
      <x:c r="G47" s="2"/>
      <x:c r="H47" s="2"/>
      <x:c r="I47" s="2"/>
      <x:c r="J47" s="2"/>
    </x:row>
    <x:row r="48" ht="24" customHeight="1">
      <x:c r="A48" s="2"/>
      <x:c r="B48" s="2"/>
      <x:c r="C48" s="2"/>
      <x:c r="D48" s="2"/>
      <x:c r="E48" s="2"/>
      <x:c r="F48" s="2"/>
      <x:c r="G48" s="2"/>
      <x:c r="H48" s="2"/>
      <x:c r="I48" s="2"/>
      <x:c r="J48" s="2"/>
    </x:row>
    <x:row r="49" ht="26" customHeight="1">
      <x:c r="A49" s="2"/>
      <x:c r="B49" s="2"/>
      <x:c r="C49" s="42" t="str">
        <x:v>UBTECH: 기업가치와 영업이익으로 역산</x:v>
      </x:c>
      <x:c r="D49" s="42"/>
      <x:c r="E49" s="42"/>
      <x:c r="F49" s="42"/>
      <x:c r="G49" s="42"/>
      <x:c r="H49" s="42"/>
      <x:c r="I49" s="42"/>
      <x:c r="J49" s="42"/>
    </x:row>
    <x:row r="50" ht="24" customHeight="1">
      <x:c r="A50" s="2"/>
      <x:c r="B50" s="2"/>
      <x:c r="C50" s="2"/>
      <x:c r="D50" s="2"/>
      <x:c r="E50" s="2"/>
      <x:c r="F50" s="2"/>
      <x:c r="G50" s="2"/>
      <x:c r="H50" s="2"/>
      <x:c r="I50" s="2"/>
      <x:c r="J50" s="2"/>
    </x:row>
    <x:row r="51" ht="34" customHeight="1">
      <x:c r="A51" s="2"/>
      <x:c r="B51" s="2"/>
      <x:c r="C51" s="8" t="str">
        <x:v>입력 조건</x:v>
      </x:c>
      <x:c r="D51" s="8" t="str">
        <x:v>단위</x:v>
      </x:c>
      <x:c r="E51" s="8" t="str">
        <x:v>값</x:v>
      </x:c>
      <x:c r="F51" s="2"/>
      <x:c r="G51" s="2"/>
      <x:c r="H51" s="2"/>
      <x:c r="I51" s="2"/>
      <x:c r="J51" s="2"/>
    </x:row>
    <x:row r="52" ht="24" customHeight="1">
      <x:c r="A52" s="2"/>
      <x:c r="B52" s="2"/>
      <x:c r="C52" s="2" t="str">
        <x:v>서로 다른 날짜의 참고 지분가치</x:v>
      </x:c>
      <x:c r="D52" s="2" t="str">
        <x:v>HKD 십억</x:v>
      </x:c>
      <x:c r="E52" s="41" t="n">
        <x:f>IF(COUNTIF('재무'!$M$7:$M$367,"UBTECH.reference_equity_value_million")&lt;&gt;1,"자료키 확인",IF(ISNUMBER(INDEX('재무'!$H$7:$H$367,MATCH("UBTECH.reference_equity_value_million",'재무'!$M$7:$M$367,0))),INDEX('재무'!$H$7:$H$367,MATCH("UBTECH.reference_equity_value_million",'재무'!$M$7:$M$367,0))/1000,"미확인"))</x:f>
        <x:v>38.9632662702</x:v>
      </x:c>
      <x:c r="F52" s="2"/>
      <x:c r="G52" s="4" t="str">
        <x:v>6월 발행주식수 × 9월 참고가격. 현재 시가총액 아님</x:v>
      </x:c>
      <x:c r="H52" s="2"/>
      <x:c r="I52" s="2"/>
      <x:c r="J52" s="2"/>
    </x:row>
    <x:row r="53" ht="24" customHeight="1">
      <x:c r="A53" s="2"/>
      <x:c r="B53" s="2"/>
      <x:c r="C53" s="2" t="str">
        <x:v>HKD를 CNY로 환산하는 가정</x:v>
      </x:c>
      <x:c r="D53" s="2" t="str">
        <x:v>CNY/HKD</x:v>
      </x:c>
      <x:c r="E53" s="33" t="n">
        <x:v>0.9</x:v>
      </x:c>
      <x:c r="F53" s="2"/>
      <x:c r="G53" s="2"/>
      <x:c r="H53" s="2"/>
      <x:c r="I53" s="2"/>
      <x:c r="J53" s="2"/>
    </x:row>
    <x:row r="54" ht="24" customHeight="1">
      <x:c r="A54" s="2"/>
      <x:c r="B54" s="2"/>
      <x:c r="C54" s="2" t="str">
        <x:v>순현금</x:v>
      </x:c>
      <x:c r="D54" s="2" t="str">
        <x:v>CNY 십억</x:v>
      </x:c>
      <x:c r="E54" s="41" t="n">
        <x:f>IF(AND(COUNTIF('재무'!$M$7:$M$367,"UBTECH.cash")=1,COUNTIF('재무'!$M$7:$M$367,"UBTECH.debt")=1),IF(AND(ISNUMBER(INDEX('재무'!$H$7:$H$367,MATCH("UBTECH.cash",'재무'!$M$7:$M$367,0))),ISNUMBER(INDEX('재무'!$H$7:$H$367,MATCH("UBTECH.debt",'재무'!$M$7:$M$367,0)))),(INDEX('재무'!$H$7:$H$367,MATCH("UBTECH.cash",'재무'!$M$7:$M$367,0))-INDEX('재무'!$H$7:$H$367,MATCH("UBTECH.debt",'재무'!$M$7:$M$367,0)))/1000,"미확인"),"자료키 확인")</x:f>
        <x:v>1.3283</x:v>
      </x:c>
      <x:c r="F54" s="2"/>
      <x:c r="G54" s="4" t="str">
        <x:v>비지배지분·리스 조정은 생략한 본문 조건</x:v>
      </x:c>
      <x:c r="H54" s="2"/>
      <x:c r="I54" s="2"/>
      <x:c r="J54" s="2"/>
    </x:row>
    <x:row r="55" ht="24" customHeight="1">
      <x:c r="A55" s="2"/>
      <x:c r="B55" s="2"/>
      <x:c r="C55" s="2" t="str">
        <x:v>기존 사업 기업가치 가정</x:v>
      </x:c>
      <x:c r="D55" s="2" t="str">
        <x:v>CNY 십억</x:v>
      </x:c>
      <x:c r="E55" s="33" t="n">
        <x:v>2</x:v>
      </x:c>
      <x:c r="F55" s="2"/>
      <x:c r="G55" s="2"/>
      <x:c r="H55" s="2"/>
      <x:c r="I55" s="2"/>
      <x:c r="J55" s="2"/>
    </x:row>
    <x:row r="56" ht="24" customHeight="1">
      <x:c r="A56" s="2"/>
      <x:c r="B56" s="2"/>
      <x:c r="C56" s="2" t="str">
        <x:v>추가 현금소진의 현재가치 가정</x:v>
      </x:c>
      <x:c r="D56" s="2" t="str">
        <x:v>CNY 십억</x:v>
      </x:c>
      <x:c r="E56" s="33" t="n">
        <x:v>1</x:v>
      </x:c>
      <x:c r="F56" s="2"/>
      <x:c r="G56" s="4" t="str">
        <x:v>향후 손실을 조달할 자금 부담을 가치 요구에 가산</x:v>
      </x:c>
      <x:c r="H56" s="2"/>
      <x:c r="I56" s="2"/>
      <x:c r="J56" s="2"/>
    </x:row>
    <x:row r="57" ht="24" customHeight="1">
      <x:c r="A57" s="2"/>
      <x:c r="B57" s="2"/>
      <x:c r="C57" s="2" t="str">
        <x:v>목표 기간 (2031년)</x:v>
      </x:c>
      <x:c r="D57" s="2" t="str">
        <x:v>년</x:v>
      </x:c>
      <x:c r="E57" s="29" t="n">
        <x:v>5</x:v>
      </x:c>
      <x:c r="F57" s="2"/>
      <x:c r="G57" s="2"/>
      <x:c r="H57" s="2"/>
      <x:c r="I57" s="2"/>
      <x:c r="J57" s="2"/>
    </x:row>
    <x:row r="58" ht="24" customHeight="1">
      <x:c r="A58" s="2"/>
      <x:c r="B58" s="2"/>
      <x:c r="C58" s="2" t="str">
        <x:v>요구 수익률</x:v>
      </x:c>
      <x:c r="D58" s="2" t="str">
        <x:v>%</x:v>
      </x:c>
      <x:c r="E58" s="31" t="n">
        <x:v>0.15</x:v>
      </x:c>
      <x:c r="F58" s="2"/>
      <x:c r="G58" s="2"/>
      <x:c r="H58" s="2"/>
      <x:c r="I58" s="2"/>
      <x:c r="J58" s="2"/>
    </x:row>
    <x:row r="59" ht="24" customHeight="1">
      <x:c r="A59" s="2"/>
      <x:c r="B59" s="2"/>
      <x:c r="C59" s="2" t="str">
        <x:v>말기 EV/EBIT</x:v>
      </x:c>
      <x:c r="D59" s="2" t="str">
        <x:v>배</x:v>
      </x:c>
      <x:c r="E59" s="33" t="n">
        <x:v>25</x:v>
      </x:c>
      <x:c r="F59" s="2"/>
      <x:c r="G59" s="2"/>
      <x:c r="H59" s="2"/>
      <x:c r="I59" s="2"/>
      <x:c r="J59" s="2"/>
    </x:row>
    <x:row r="60" ht="24" customHeight="1">
      <x:c r="A60" s="2"/>
      <x:c r="B60" s="2"/>
      <x:c r="C60" s="2" t="str">
        <x:v>기체 환산 ASP</x:v>
      </x:c>
      <x:c r="D60" s="2" t="str">
        <x:v>CNY</x:v>
      </x:c>
      <x:c r="E60" s="29" t="n">
        <x:v>200000</x:v>
      </x:c>
      <x:c r="F60" s="2"/>
      <x:c r="G60" s="2"/>
      <x:c r="H60" s="2"/>
      <x:c r="I60" s="2"/>
      <x:c r="J60" s="2"/>
    </x:row>
    <x:row r="61" ht="24" customHeight="1">
      <x:c r="A61" s="2"/>
      <x:c r="B61" s="2"/>
      <x:c r="C61" s="2" t="str">
        <x:v>2026 H1 범주 매출 단순 2배</x:v>
      </x:c>
      <x:c r="D61" s="2" t="str">
        <x:v>CNY 십억</x:v>
      </x:c>
      <x:c r="E61" s="41" t="n">
        <x:f>IF(COUNTIF('재무'!$M$7:$M$367,"UBTECH.humanoid_related_category_revenue")&lt;&gt;1,"자료키 확인",IF(ISNUMBER(INDEX('재무'!$H$7:$H$367,MATCH("UBTECH.humanoid_related_category_revenue",'재무'!$M$7:$M$367,0))),INDEX('재무'!$H$7:$H$367,MATCH("UBTECH.humanoid_related_category_revenue",'재무'!$M$7:$M$367,0))/500,"미확인"))</x:f>
        <x:v>1.1805999999999999</x:v>
      </x:c>
      <x:c r="F61" s="2"/>
      <x:c r="G61" s="4" t="str">
        <x:v>바퀴형·서비스 포함 범주. 이족형 순수매출 아님</x:v>
      </x:c>
      <x:c r="H61" s="2"/>
      <x:c r="I61" s="2"/>
      <x:c r="J61" s="2"/>
    </x:row>
    <x:row r="62" ht="24" customHeight="1">
      <x:c r="A62" s="2"/>
      <x:c r="B62" s="2"/>
      <x:c r="C62" s="2" t="str">
        <x:v>영업이익률 중간 조건</x:v>
      </x:c>
      <x:c r="D62" s="2" t="str">
        <x:v>%</x:v>
      </x:c>
      <x:c r="E62" s="31" t="n">
        <x:v>0.15</x:v>
      </x:c>
      <x:c r="F62" s="2"/>
      <x:c r="G62" s="2"/>
      <x:c r="H62" s="2"/>
      <x:c r="I62" s="2"/>
      <x:c r="J62" s="2"/>
    </x:row>
    <x:row r="63" ht="24" customHeight="1">
      <x:c r="A63" s="2"/>
      <x:c r="B63" s="2"/>
      <x:c r="C63" s="2" t="str">
        <x:v>입력 유효성</x:v>
      </x:c>
      <x:c r="D63" s="2"/>
      <x:c r="E63" s="9" t="str">
        <x:f>IF(AND(COUNT(E52:E62)=11,MIN(E52:E53)&gt;=0,MIN(E55:E62)&gt;=0,E53&gt;0,E57&gt;0,E59&gt;0,E60&gt;0,E61&gt;0,E62&gt;0,E62&lt;=1),"입력 유효","입력 확인")</x:f>
        <x:v>입력 유효</x:v>
      </x:c>
      <x:c r="F63" s="2"/>
      <x:c r="G63" s="2"/>
      <x:c r="H63" s="2"/>
      <x:c r="I63" s="2"/>
      <x:c r="J63" s="2"/>
    </x:row>
    <x:row r="64" ht="24" customHeight="1">
      <x:c r="A64" s="2"/>
      <x:c r="B64" s="2"/>
      <x:c r="C64" s="2" t="str">
        <x:v>설명해야 할 로봇 사업 가치</x:v>
      </x:c>
      <x:c r="D64" s="2" t="str">
        <x:v>CNY 십억</x:v>
      </x:c>
      <x:c r="E64" s="21" t="n">
        <x:f>IF(E63="입력 유효",MAX(0,E52*E53-E54-E55+E56),E63)</x:f>
        <x:v>32.73863964318</x:v>
      </x:c>
      <x:c r="F64" s="2"/>
      <x:c r="G64" s="2"/>
      <x:c r="H64" s="2"/>
      <x:c r="I64" s="2"/>
      <x:c r="J64" s="2"/>
    </x:row>
    <x:row r="65" ht="24" customHeight="1">
      <x:c r="A65" s="2"/>
      <x:c r="B65" s="2"/>
      <x:c r="C65" s="2" t="str">
        <x:v>말기 요구 EBIT</x:v>
      </x:c>
      <x:c r="D65" s="2" t="str">
        <x:v>CNY 십억</x:v>
      </x:c>
      <x:c r="E65" s="21" t="n">
        <x:f>IF(E63="입력 유효",E64*(1+E58)^E57/E59,E63)</x:f>
        <x:v>2.6339639262113</x:v>
      </x:c>
      <x:c r="F65" s="2"/>
      <x:c r="G65" s="2"/>
      <x:c r="H65" s="2"/>
      <x:c r="I65" s="2"/>
      <x:c r="J65" s="2"/>
    </x:row>
    <x:row r="66" ht="24" customHeight="1">
      <x:c r="A66" s="2"/>
      <x:c r="B66" s="2"/>
      <x:c r="C66" s="2" t="str">
        <x:v>말기 요구 매출</x:v>
      </x:c>
      <x:c r="D66" s="2" t="str">
        <x:v>CNY 십억</x:v>
      </x:c>
      <x:c r="E66" s="21" t="n">
        <x:f>IF(E63="입력 유효",E65/E62,E63)</x:f>
        <x:v>17.559759508075334</x:v>
      </x:c>
      <x:c r="F66" s="2"/>
      <x:c r="G66" s="2"/>
      <x:c r="H66" s="2"/>
      <x:c r="I66" s="2"/>
      <x:c r="J66" s="2"/>
    </x:row>
    <x:row r="67" ht="24" customHeight="1">
      <x:c r="A67" s="2"/>
      <x:c r="B67" s="2"/>
      <x:c r="C67" s="2" t="str">
        <x:v>연 환산 출하</x:v>
      </x:c>
      <x:c r="D67" s="2" t="str">
        <x:v>대</x:v>
      </x:c>
      <x:c r="E67" s="15" t="n">
        <x:f>IF(E63="입력 유효",E66*1000000000/E60,E63)</x:f>
        <x:v>87798.79754037666</x:v>
      </x:c>
      <x:c r="F67" s="2"/>
      <x:c r="G67" s="2"/>
      <x:c r="H67" s="2"/>
      <x:c r="I67" s="2"/>
      <x:c r="J67" s="2"/>
    </x:row>
    <x:row r="68" ht="24" customHeight="1">
      <x:c r="A68" s="2"/>
      <x:c r="B68" s="2"/>
      <x:c r="C68" s="2" t="str">
        <x:v>반기 범주 매출 연율화 대비 CAGR</x:v>
      </x:c>
      <x:c r="D68" s="2" t="str">
        <x:v>%</x:v>
      </x:c>
      <x:c r="E68" s="23" t="n">
        <x:f>IF(E63="입력 유효",(E66/E61)^(1/E57)-1,E63)</x:f>
        <x:v>0.7158651632258164</x:v>
      </x:c>
      <x:c r="F68" s="2"/>
      <x:c r="G68" s="2"/>
      <x:c r="H68" s="2"/>
      <x:c r="I68" s="2"/>
      <x:c r="J68" s="2"/>
    </x:row>
    <x:row r="69" ht="24" customHeight="1">
      <x:c r="A69" s="2"/>
      <x:c r="B69" s="2"/>
      <x:c r="C69" s="2"/>
      <x:c r="D69" s="2"/>
      <x:c r="E69" s="2"/>
      <x:c r="F69" s="2"/>
      <x:c r="G69" s="2"/>
      <x:c r="H69" s="2"/>
      <x:c r="I69" s="2"/>
      <x:c r="J69" s="2"/>
    </x:row>
    <x:row r="70" ht="24" customHeight="1">
      <x:c r="A70" s="2"/>
      <x:c r="B70" s="2"/>
      <x:c r="C70" s="2"/>
      <x:c r="D70" s="2"/>
      <x:c r="E70" s="2"/>
      <x:c r="F70" s="2"/>
      <x:c r="G70" s="2"/>
      <x:c r="H70" s="2"/>
      <x:c r="I70" s="2"/>
      <x:c r="J70" s="2"/>
    </x:row>
    <x:row r="71" ht="34" customHeight="1">
      <x:c r="A71" s="2"/>
      <x:c r="B71" s="2"/>
      <x:c r="C71" s="8" t="str">
        <x:v>영업이익률</x:v>
      </x:c>
      <x:c r="D71" s="8" t="str">
        <x:v>요구 매출 (CNY bn)</x:v>
      </x:c>
      <x:c r="E71" s="8" t="str">
        <x:v>연 환산 출하</x:v>
      </x:c>
      <x:c r="F71" s="8" t="str">
        <x:v>범주 연율화 대비 CAGR</x:v>
      </x:c>
      <x:c r="G71" s="2"/>
      <x:c r="H71" s="2"/>
      <x:c r="I71" s="2"/>
      <x:c r="J71" s="2"/>
    </x:row>
    <x:row r="72" ht="24" customHeight="1">
      <x:c r="A72" s="2"/>
      <x:c r="B72" s="2"/>
      <x:c r="C72" s="31" t="n">
        <x:v>0.1</x:v>
      </x:c>
      <x:c r="D72" s="21" t="n">
        <x:f>IF(AND($E$63="입력 유효",ISNUMBER(C72),C72&gt;0,C72&lt;=1),$E$65/C72,"입력 확인")</x:f>
        <x:v>26.339639262113</x:v>
      </x:c>
      <x:c r="E72" s="15" t="n">
        <x:f>IF(ISNUMBER(D72),D72*1000000000/$E$60,"입력 확인")</x:f>
        <x:v>131698.196310565</x:v>
      </x:c>
      <x:c r="F72" s="23" t="n">
        <x:f>IF(ISNUMBER(D72),(D72/$E$61)^(1/$E$57)-1,"입력 확인")</x:f>
        <x:v>0.8608073326999295</x:v>
      </x:c>
      <x:c r="G72" s="2"/>
      <x:c r="H72" s="2"/>
      <x:c r="I72" s="2"/>
      <x:c r="J72" s="2"/>
    </x:row>
    <x:row r="73" ht="24" customHeight="1">
      <x:c r="A73" s="2"/>
      <x:c r="B73" s="2"/>
      <x:c r="C73" s="23" t="n">
        <x:f>$E$62</x:f>
        <x:v>0.15</x:v>
      </x:c>
      <x:c r="D73" s="21" t="n">
        <x:f>IF(AND($E$63="입력 유효",ISNUMBER(C73),C73&gt;0,C73&lt;=1),$E$65/C73,"입력 확인")</x:f>
        <x:v>17.559759508075334</x:v>
      </x:c>
      <x:c r="E73" s="15" t="n">
        <x:f>IF(ISNUMBER(D73),D73*1000000000/$E$60,"입력 확인")</x:f>
        <x:v>87798.79754037666</x:v>
      </x:c>
      <x:c r="F73" s="23" t="n">
        <x:f>IF(ISNUMBER(D73),(D73/$E$61)^(1/$E$57)-1,"입력 확인")</x:f>
        <x:v>0.7158651632258164</x:v>
      </x:c>
      <x:c r="G73" s="2"/>
      <x:c r="H73" s="2"/>
      <x:c r="I73" s="2"/>
      <x:c r="J73" s="2"/>
    </x:row>
    <x:row r="74" ht="24" customHeight="1">
      <x:c r="A74" s="2"/>
      <x:c r="B74" s="2"/>
      <x:c r="C74" s="31" t="n">
        <x:v>0.2</x:v>
      </x:c>
      <x:c r="D74" s="21" t="n">
        <x:f>IF(AND($E$63="입력 유효",ISNUMBER(C74),C74&gt;0,C74&lt;=1),$E$65/C74,"입력 확인")</x:f>
        <x:v>13.1698196310565</x:v>
      </x:c>
      <x:c r="E74" s="15" t="n">
        <x:f>IF(ISNUMBER(D74),D74*1000000000/$E$60,"입력 확인")</x:f>
        <x:v>65849.0981552825</x:v>
      </x:c>
      <x:c r="F74" s="23" t="n">
        <x:f>IF(ISNUMBER(D74),(D74/$E$61)^(1/$E$57)-1,"입력 확인")</x:f>
        <x:v>0.6199268716674817</x:v>
      </x:c>
      <x:c r="G74" s="2"/>
      <x:c r="H74" s="2"/>
      <x:c r="I74" s="2"/>
      <x:c r="J74" s="2"/>
    </x:row>
    <x:row r="75" ht="24" customHeight="1">
      <x:c r="A75" s="2"/>
      <x:c r="B75" s="2"/>
      <x:c r="C75" s="2"/>
      <x:c r="D75" s="2"/>
      <x:c r="E75" s="2"/>
      <x:c r="F75" s="2"/>
      <x:c r="G75" s="2"/>
      <x:c r="H75" s="2"/>
      <x:c r="I75" s="2"/>
      <x:c r="J75" s="2"/>
    </x:row>
    <x:row r="76" ht="24" customHeight="1">
      <x:c r="A76" s="2"/>
      <x:c r="B76" s="2"/>
      <x:c r="C76" s="4" t="str">
        <x:v>같은 공시 범주가 유지된다는 가정입니다. 2031 매출을 달성하더라도 이족형의 비중·마진·희석 결과는 별도입니다.</x:v>
      </x:c>
      <x:c r="D76" s="2"/>
      <x:c r="E76" s="2"/>
      <x:c r="F76" s="2"/>
      <x:c r="G76" s="2"/>
      <x:c r="H76" s="2"/>
      <x:c r="I76" s="2"/>
      <x:c r="J76" s="2"/>
    </x:row>
    <x:row r="77" ht="24" customHeight="1">
      <x:c r="A77" s="2"/>
      <x:c r="B77" s="2"/>
      <x:c r="C77" s="2"/>
      <x:c r="D77" s="2"/>
      <x:c r="E77" s="2"/>
      <x:c r="F77" s="2"/>
      <x:c r="G77" s="2"/>
      <x:c r="H77" s="2"/>
      <x:c r="I77" s="2"/>
      <x:c r="J77" s="2"/>
    </x:row>
    <x:row r="78" ht="24" customHeight="1">
      <x:c r="A78" s="2"/>
      <x:c r="B78" s="2"/>
      <x:c r="C78" s="2"/>
      <x:c r="D78" s="2"/>
      <x:c r="E78" s="2"/>
      <x:c r="F78" s="2"/>
      <x:c r="G78" s="2"/>
      <x:c r="H78" s="2"/>
      <x:c r="I78" s="2"/>
      <x:c r="J78" s="2"/>
    </x:row>
    <x:row r="79" ht="24" customHeight="1">
      <x:c r="A79" s="2"/>
      <x:c r="B79" s="2"/>
      <x:c r="C79" s="2"/>
      <x:c r="D79" s="2"/>
      <x:c r="E79" s="2"/>
      <x:c r="F79" s="2"/>
      <x:c r="G79" s="2"/>
      <x:c r="H79" s="2"/>
      <x:c r="I79" s="2"/>
      <x:c r="J79" s="2"/>
    </x:row>
    <x:row r="80" ht="26" customHeight="1">
      <x:c r="A80" s="2"/>
      <x:c r="B80" s="2"/>
      <x:c r="C80" s="42" t="str">
        <x:v>NVIDIA: 로봇 가치 배분 가정이 요구하는 추가 매출</x:v>
      </x:c>
      <x:c r="D80" s="42"/>
      <x:c r="E80" s="42"/>
      <x:c r="F80" s="42"/>
      <x:c r="G80" s="42"/>
      <x:c r="H80" s="42"/>
      <x:c r="I80" s="42"/>
      <x:c r="J80" s="42"/>
    </x:row>
    <x:row r="81" ht="24" customHeight="1">
      <x:c r="A81" s="2"/>
      <x:c r="B81" s="2"/>
      <x:c r="C81" s="2"/>
      <x:c r="D81" s="2"/>
      <x:c r="E81" s="2"/>
      <x:c r="F81" s="2"/>
      <x:c r="G81" s="2"/>
      <x:c r="H81" s="2"/>
      <x:c r="I81" s="2"/>
      <x:c r="J81" s="2"/>
    </x:row>
    <x:row r="82" ht="34" customHeight="1">
      <x:c r="A82" s="2"/>
      <x:c r="B82" s="2"/>
      <x:c r="C82" s="8" t="str">
        <x:v>입력 조건</x:v>
      </x:c>
      <x:c r="D82" s="8" t="str">
        <x:v>단위</x:v>
      </x:c>
      <x:c r="E82" s="8" t="str">
        <x:v>값</x:v>
      </x:c>
      <x:c r="F82" s="2"/>
      <x:c r="G82" s="2"/>
      <x:c r="H82" s="2"/>
      <x:c r="I82" s="2"/>
      <x:c r="J82" s="2"/>
    </x:row>
    <x:row r="83" ht="24" customHeight="1">
      <x:c r="A83" s="2"/>
      <x:c r="B83" s="2"/>
      <x:c r="C83" s="2" t="str">
        <x:v>요구 수익률</x:v>
      </x:c>
      <x:c r="D83" s="2" t="str">
        <x:v>%</x:v>
      </x:c>
      <x:c r="E83" s="31" t="n">
        <x:v>0.12</x:v>
      </x:c>
      <x:c r="F83" s="2"/>
      <x:c r="G83" s="4" t="str">
        <x:v>로봇 가치 50·100·250bn은 관측된 시장 잔여가치 아님</x:v>
      </x:c>
      <x:c r="H83" s="2"/>
      <x:c r="I83" s="2"/>
      <x:c r="J83" s="2"/>
    </x:row>
    <x:row r="84" ht="24" customHeight="1">
      <x:c r="A84" s="2"/>
      <x:c r="B84" s="2"/>
      <x:c r="C84" s="2" t="str">
        <x:v>목표 실현 기간 (2036년)</x:v>
      </x:c>
      <x:c r="D84" s="2" t="str">
        <x:v>년</x:v>
      </x:c>
      <x:c r="E84" s="29" t="n">
        <x:v>10</x:v>
      </x:c>
      <x:c r="F84" s="2"/>
      <x:c r="G84" s="4" t="str">
        <x:v>기존 데이터센터·게이밍 사업의 가치와 구분한 가정</x:v>
      </x:c>
      <x:c r="H84" s="2"/>
      <x:c r="I84" s="2"/>
      <x:c r="J84" s="2"/>
    </x:row>
    <x:row r="85" ht="24" customHeight="1">
      <x:c r="A85" s="2"/>
      <x:c r="B85" s="2"/>
      <x:c r="C85" s="2" t="str">
        <x:v>말기 PER</x:v>
      </x:c>
      <x:c r="D85" s="2" t="str">
        <x:v>배</x:v>
      </x:c>
      <x:c r="E85" s="33" t="n">
        <x:v>30</x:v>
      </x:c>
      <x:c r="F85" s="2"/>
      <x:c r="G85" s="4" t="str">
        <x:v>로봇 전체 판매가격을 NVIDIA 매출로 계산하지 않음</x:v>
      </x:c>
      <x:c r="H85" s="2"/>
      <x:c r="I85" s="2"/>
      <x:c r="J85" s="2"/>
    </x:row>
    <x:row r="86" ht="24" customHeight="1">
      <x:c r="A86" s="2"/>
      <x:c r="B86" s="2"/>
      <x:c r="C86" s="2" t="str">
        <x:v>말기 순이익률</x:v>
      </x:c>
      <x:c r="D86" s="2" t="str">
        <x:v>%</x:v>
      </x:c>
      <x:c r="E86" s="31" t="n">
        <x:v>0.35</x:v>
      </x:c>
      <x:c r="F86" s="2"/>
      <x:c r="G86" s="2"/>
      <x:c r="H86" s="2"/>
      <x:c r="I86" s="2"/>
      <x:c r="J86" s="2"/>
    </x:row>
    <x:row r="87" ht="24" customHeight="1">
      <x:c r="A87" s="2"/>
      <x:c r="B87" s="2"/>
      <x:c r="C87" s="2" t="str">
        <x:v>로봇당 연 매출 환산</x:v>
      </x:c>
      <x:c r="D87" s="2" t="str">
        <x:v>USD</x:v>
      </x:c>
      <x:c r="E87" s="27" t="n">
        <x:v>3000</x:v>
      </x:c>
      <x:c r="F87" s="2"/>
      <x:c r="G87" s="2"/>
      <x:c r="H87" s="2"/>
      <x:c r="I87" s="2"/>
      <x:c r="J87" s="2"/>
    </x:row>
    <x:row r="88" ht="24" customHeight="1">
      <x:c r="A88" s="2"/>
      <x:c r="B88" s="2"/>
      <x:c r="C88" s="2" t="str">
        <x:v>현재 로봇 추가 지분가치 배분</x:v>
      </x:c>
      <x:c r="D88" s="2" t="str">
        <x:v>USD 십억</x:v>
      </x:c>
      <x:c r="E88" s="33" t="n">
        <x:v>100</x:v>
      </x:c>
      <x:c r="F88" s="2"/>
      <x:c r="G88" s="2"/>
      <x:c r="H88" s="2"/>
      <x:c r="I88" s="2"/>
      <x:c r="J88" s="2"/>
    </x:row>
    <x:row r="89" ht="24" customHeight="1">
      <x:c r="A89" s="2"/>
      <x:c r="B89" s="2"/>
      <x:c r="C89" s="2" t="str">
        <x:v>가치 1당 요구 말기 매출</x:v>
      </x:c>
      <x:c r="D89" s="2"/>
      <x:c r="E89" s="21" t="n">
        <x:f>IF(AND(COUNT(E83:E88)=6,MIN(E83:E88)&gt;=0,E84&gt;0,E85&gt;0,E86&gt;0,E86&lt;=1,E87&gt;0),(1+E83)^E84/E85/E86,"입력 확인")</x:f>
        <x:v>0.29579506746135353</x:v>
      </x:c>
      <x:c r="F89" s="2"/>
      <x:c r="G89" s="2"/>
      <x:c r="H89" s="2"/>
      <x:c r="I89" s="2"/>
      <x:c r="J89" s="2"/>
    </x:row>
    <x:row r="90" ht="24" customHeight="1">
      <x:c r="A90" s="2"/>
      <x:c r="B90" s="2"/>
      <x:c r="C90" s="2" t="str">
        <x:v>말기 요구 매출 (USD bn)</x:v>
      </x:c>
      <x:c r="D90" s="2"/>
      <x:c r="E90" s="21" t="n">
        <x:f>IF(ISNUMBER(E89),E88*E89,"입력 확인")</x:f>
        <x:v>29.579506746135355</x:v>
      </x:c>
      <x:c r="F90" s="2"/>
      <x:c r="G90" s="2"/>
      <x:c r="H90" s="2"/>
      <x:c r="I90" s="2"/>
      <x:c r="J90" s="2"/>
    </x:row>
    <x:row r="91" ht="24" customHeight="1">
      <x:c r="A91" s="2"/>
      <x:c r="B91" s="2"/>
      <x:c r="C91" s="2" t="str">
        <x:v>연 환산 로봇 대수</x:v>
      </x:c>
      <x:c r="D91" s="2"/>
      <x:c r="E91" s="15" t="n">
        <x:f>IF(ISNUMBER(E90),E90*1000000000/E87,"입력 확인")</x:f>
        <x:v>9859835.582045117</x:v>
      </x:c>
      <x:c r="F91" s="2"/>
      <x:c r="G91" s="2"/>
      <x:c r="H91" s="2"/>
      <x:c r="I91" s="2"/>
      <x:c r="J91" s="2"/>
    </x:row>
    <x:row r="92" ht="24" customHeight="1">
      <x:c r="A92" s="2"/>
      <x:c r="B92" s="2"/>
      <x:c r="C92" s="2"/>
      <x:c r="D92" s="2"/>
      <x:c r="E92" s="2"/>
      <x:c r="F92" s="2"/>
      <x:c r="G92" s="2"/>
      <x:c r="H92" s="2"/>
      <x:c r="I92" s="2"/>
      <x:c r="J92" s="2"/>
    </x:row>
    <x:row r="93" ht="24" customHeight="1">
      <x:c r="A93" s="2"/>
      <x:c r="B93" s="2"/>
      <x:c r="C93" s="2"/>
      <x:c r="D93" s="2"/>
      <x:c r="E93" s="2"/>
      <x:c r="F93" s="2"/>
      <x:c r="G93" s="2"/>
      <x:c r="H93" s="2"/>
      <x:c r="I93" s="2"/>
      <x:c r="J93" s="2"/>
    </x:row>
    <x:row r="94" ht="34" customHeight="1">
      <x:c r="A94" s="2"/>
      <x:c r="B94" s="2"/>
      <x:c r="C94" s="8" t="str">
        <x:v>추가 가치 배분 (USD bn)</x:v>
      </x:c>
      <x:c r="D94" s="8" t="str">
        <x:v>요구 매출 (USD bn)</x:v>
      </x:c>
      <x:c r="E94" s="8" t="str">
        <x:v>연 환산 로봇 대수</x:v>
      </x:c>
      <x:c r="F94" s="2"/>
      <x:c r="G94" s="2"/>
      <x:c r="H94" s="2"/>
      <x:c r="I94" s="2"/>
      <x:c r="J94" s="2"/>
    </x:row>
    <x:row r="95" ht="24" customHeight="1">
      <x:c r="A95" s="2"/>
      <x:c r="B95" s="2"/>
      <x:c r="C95" s="33" t="n">
        <x:v>50</x:v>
      </x:c>
      <x:c r="D95" s="21" t="n">
        <x:f>IF(AND(ISNUMBER($E$89),ISNUMBER(C95),C95&gt;=0),C95*$E$89,"입력 확인")</x:f>
        <x:v>14.789753373067677</x:v>
      </x:c>
      <x:c r="E95" s="15" t="n">
        <x:f>IF(ISNUMBER(D95),D95*1000000000/$E$87,"입력 확인")</x:f>
        <x:v>4929917.791022559</x:v>
      </x:c>
      <x:c r="F95" s="2"/>
      <x:c r="G95" s="2"/>
      <x:c r="H95" s="2"/>
      <x:c r="I95" s="2"/>
      <x:c r="J95" s="2"/>
    </x:row>
    <x:row r="96" ht="24" customHeight="1">
      <x:c r="A96" s="2"/>
      <x:c r="B96" s="2"/>
      <x:c r="C96" s="21" t="n">
        <x:f>$E$88</x:f>
        <x:v>100</x:v>
      </x:c>
      <x:c r="D96" s="21" t="n">
        <x:f>IF(AND(ISNUMBER($E$89),ISNUMBER(C96),C96&gt;=0),C96*$E$89,"입력 확인")</x:f>
        <x:v>29.579506746135355</x:v>
      </x:c>
      <x:c r="E96" s="15" t="n">
        <x:f>IF(ISNUMBER(D96),D96*1000000000/$E$87,"입력 확인")</x:f>
        <x:v>9859835.582045117</x:v>
      </x:c>
      <x:c r="F96" s="2"/>
      <x:c r="G96" s="2"/>
      <x:c r="H96" s="2"/>
      <x:c r="I96" s="2"/>
      <x:c r="J96" s="2"/>
    </x:row>
    <x:row r="97" ht="24" customHeight="1">
      <x:c r="A97" s="2"/>
      <x:c r="B97" s="2"/>
      <x:c r="C97" s="33" t="n">
        <x:v>250</x:v>
      </x:c>
      <x:c r="D97" s="21" t="n">
        <x:f>IF(AND(ISNUMBER($E$89),ISNUMBER(C97),C97&gt;=0),C97*$E$89,"입력 확인")</x:f>
        <x:v>73.94876686533838</x:v>
      </x:c>
      <x:c r="E97" s="15" t="n">
        <x:f>IF(ISNUMBER(D97),D97*1000000000/$E$87,"입력 확인")</x:f>
        <x:v>24649588.955112793</x:v>
      </x:c>
      <x:c r="F97" s="2"/>
      <x:c r="G97" s="2"/>
      <x:c r="H97" s="2"/>
      <x:c r="I97" s="2"/>
      <x:c r="J97" s="2"/>
    </x:row>
    <x:row r="98" ht="24" customHeight="1">
      <x:c r="A98" s="2"/>
      <x:c r="B98" s="2"/>
      <x:c r="C98" s="2"/>
      <x:c r="D98" s="2"/>
      <x:c r="E98" s="2"/>
      <x:c r="F98" s="2"/>
      <x:c r="G98" s="2"/>
      <x:c r="H98" s="2"/>
      <x:c r="I98" s="2"/>
      <x:c r="J98" s="2"/>
    </x:row>
    <x:row r="99" ht="24" customHeight="1">
      <x:c r="A99" s="2"/>
      <x:c r="B99" s="2"/>
      <x:c r="C99" s="2"/>
      <x:c r="D99" s="2"/>
      <x:c r="E99" s="2"/>
      <x:c r="F99" s="2"/>
      <x:c r="G99" s="2"/>
      <x:c r="H99" s="2"/>
      <x:c r="I99" s="2"/>
      <x:c r="J99" s="2"/>
    </x:row>
    <x:row r="100" ht="24" customHeight="1">
      <x:c r="A100" s="2"/>
      <x:c r="B100" s="2"/>
      <x:c r="C100" s="4" t="str">
        <x:v>Tesla는 현금·차입금 재조정을 하지 않습니다. UBTECH는 통화를 맞춘 뒤 순현금·기존 사업·향후 현금소진을 조정합니다.</x:v>
      </x:c>
      <x:c r="D100" s="2"/>
      <x:c r="E100" s="2"/>
      <x:c r="F100" s="2"/>
      <x:c r="G100" s="2"/>
      <x:c r="H100" s="2"/>
      <x:c r="I100" s="2"/>
      <x:c r="J100" s="2"/>
    </x:row>
    <x:row r="101" ht="24" customHeight="1">
      <x:c r="A101" s="2"/>
      <x:c r="B101" s="2"/>
      <x:c r="C101" s="2"/>
      <x:c r="D101" s="2"/>
      <x:c r="E101" s="2"/>
      <x:c r="F101" s="2"/>
      <x:c r="G101" s="2"/>
      <x:c r="H101" s="2"/>
      <x:c r="I101" s="2"/>
      <x:c r="J101" s="2"/>
    </x:row>
    <x:row r="102" ht="24" customHeight="1">
      <x:c r="A102" s="2"/>
      <x:c r="B102" s="2"/>
      <x:c r="C102" s="2"/>
      <x:c r="D102" s="2"/>
      <x:c r="E102" s="2"/>
      <x:c r="F102" s="2"/>
      <x:c r="G102" s="2"/>
      <x:c r="H102" s="2"/>
      <x:c r="I102" s="2"/>
      <x:c r="J102" s="2"/>
    </x:row>
    <x:row r="103" ht="24" customHeight="1">
      <x:c r="A103" s="2"/>
      <x:c r="B103" s="2"/>
      <x:c r="C103" s="2"/>
      <x:c r="D103" s="2"/>
      <x:c r="E103" s="2"/>
      <x:c r="F103" s="2"/>
      <x:c r="G103" s="2"/>
      <x:c r="H103" s="2"/>
      <x:c r="I103" s="2"/>
      <x:c r="J103" s="2"/>
    </x:row>
    <x:row r="104" ht="24" customHeight="1">
      <x:c r="A104" s="2"/>
      <x:c r="B104" s="2"/>
      <x:c r="C104" s="2"/>
      <x:c r="D104" s="2"/>
      <x:c r="E104" s="2"/>
      <x:c r="F104" s="2"/>
      <x:c r="G104" s="2"/>
      <x:c r="H104" s="2"/>
      <x:c r="I104" s="2"/>
      <x:c r="J104" s="2"/>
    </x:row>
  </x:sheetData>
  <x:conditionalFormatting sqref="E24:E24">
    <x:cfRule type="containsText" dxfId="21" priority="1" operator="containsText" text="확인"/>
  </x:conditionalFormatting>
  <x:conditionalFormatting sqref="E63:E63">
    <x:cfRule type="containsText" dxfId="22" priority="2" operator="containsText" text="확인"/>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2" hidden="0" customWidth="1"/>
    <x:col min="2" max="2" width="2" hidden="0" customWidth="1"/>
    <x:col min="3" max="3" width="12" hidden="0" customWidth="1"/>
    <x:col min="4" max="4" width="25" hidden="0" customWidth="1"/>
    <x:col min="5" max="5" width="33" hidden="0" customWidth="1"/>
    <x:col min="6" max="6" width="15" hidden="0" customWidth="1"/>
    <x:col min="7" max="7" width="32" hidden="0" customWidth="1"/>
    <x:col min="8" max="8" width="37" hidden="0" customWidth="1"/>
    <x:col min="9" max="9" width="20" hidden="0" customWidth="1"/>
    <x:col min="10" max="10" width="22" hidden="0" customWidth="1"/>
    <x:col min="11" max="11" width="35" hidden="0" customWidth="1"/>
    <x:col min="12" max="12" width="44" hidden="0" customWidth="1"/>
    <x:col min="13" max="13" width="60" hidden="0" customWidth="1"/>
    <x:col min="14" max="14" width="17" hidden="0" customWidth="1"/>
    <x:col min="15" max="15" width="82" hidden="0" customWidth="1"/>
    <x:col min="16" max="16" width="48" hidden="0" customWidth="1"/>
  </x:cols>
  <x:sheetData>
    <x:row r="1" ht="24" customHeight="1">
      <x:c r="A1" s="2"/>
      <x:c r="B1" s="2"/>
      <x:c r="C1" s="2"/>
      <x:c r="D1" s="2"/>
      <x:c r="E1" s="2"/>
      <x:c r="F1" s="2"/>
      <x:c r="G1" s="2"/>
      <x:c r="H1" s="2"/>
      <x:c r="I1" s="2"/>
      <x:c r="J1" s="2"/>
      <x:c r="K1" s="2"/>
      <x:c r="L1" s="2"/>
      <x:c r="M1" s="2"/>
      <x:c r="N1" s="2"/>
      <x:c r="O1" s="2"/>
      <x:c r="P1" s="2"/>
    </x:row>
    <x:row r="2" ht="24" customHeight="1">
      <x:c r="A2" s="2"/>
      <x:c r="B2" s="2"/>
      <x:c r="C2" s="3" t="str">
        <x:v>기업목록</x:v>
      </x:c>
      <x:c r="D2" s="3"/>
      <x:c r="E2" s="3"/>
      <x:c r="F2" s="3"/>
      <x:c r="G2" s="3"/>
      <x:c r="H2" s="3"/>
      <x:c r="I2" s="3"/>
      <x:c r="J2" s="3"/>
      <x:c r="K2" s="3"/>
      <x:c r="L2" s="3"/>
      <x:c r="M2" s="3"/>
      <x:c r="N2" s="3"/>
      <x:c r="O2" s="3"/>
      <x:c r="P2" s="3"/>
    </x:row>
    <x:row r="3" ht="24" customHeight="1">
      <x:c r="A3" s="2"/>
      <x:c r="B3" s="2"/>
      <x:c r="C3" s="2"/>
      <x:c r="D3" s="2"/>
      <x:c r="E3" s="2"/>
      <x:c r="F3" s="2"/>
      <x:c r="G3" s="2"/>
      <x:c r="H3" s="2"/>
      <x:c r="I3" s="2"/>
      <x:c r="J3" s="2"/>
      <x:c r="K3" s="2"/>
      <x:c r="L3" s="2"/>
      <x:c r="M3" s="2"/>
      <x:c r="N3" s="2"/>
      <x:c r="O3" s="2"/>
      <x:c r="P3" s="2"/>
    </x:row>
    <x:row r="4" ht="24" customHeight="1">
      <x:c r="A4" s="2"/>
      <x:c r="B4" s="2"/>
      <x:c r="C4" s="4" t="str">
        <x:v>세계 조사 기업 104개. 개발 거점·소유 관계·기술·경제성·투자 노출을 구분합니다.</x:v>
      </x:c>
      <x:c r="D4" s="2"/>
      <x:c r="E4" s="2"/>
      <x:c r="F4" s="2"/>
      <x:c r="G4" s="2"/>
      <x:c r="H4" s="2"/>
      <x:c r="I4" s="2"/>
      <x:c r="J4" s="2"/>
      <x:c r="K4" s="2"/>
      <x:c r="L4" s="2"/>
      <x:c r="M4" s="2"/>
      <x:c r="N4" s="2"/>
      <x:c r="O4" s="2"/>
      <x:c r="P4" s="2"/>
    </x:row>
    <x:row r="5" ht="24" customHeight="1">
      <x:c r="A5" s="2"/>
      <x:c r="B5" s="2"/>
      <x:c r="C5" s="2"/>
      <x:c r="D5" s="2"/>
      <x:c r="E5" s="2"/>
      <x:c r="F5" s="2"/>
      <x:c r="G5" s="2"/>
      <x:c r="H5" s="2"/>
      <x:c r="I5" s="2"/>
      <x:c r="J5" s="2"/>
      <x:c r="K5" s="2"/>
      <x:c r="L5" s="2"/>
      <x:c r="M5" s="2"/>
      <x:c r="N5" s="2"/>
      <x:c r="O5" s="2"/>
      <x:c r="P5" s="2"/>
    </x:row>
    <x:row r="6" ht="34" customHeight="1">
      <x:c r="A6" s="2"/>
      <x:c r="B6" s="2"/>
      <x:c r="C6" s="8" t="str">
        <x:v>ID</x:v>
      </x:c>
      <x:c r="D6" s="8" t="str">
        <x:v>기업</x:v>
      </x:c>
      <x:c r="E6" s="8" t="str">
        <x:v>법인명</x:v>
      </x:c>
      <x:c r="F6" s="8" t="str">
        <x:v>지역</x:v>
      </x:c>
      <x:c r="G6" s="8" t="str">
        <x:v>역할</x:v>
      </x:c>
      <x:c r="H6" s="8" t="str">
        <x:v>상장 상태</x:v>
      </x:c>
      <x:c r="I6" s="8" t="str">
        <x:v>티커</x:v>
      </x:c>
      <x:c r="J6" s="8" t="str">
        <x:v>거래소</x:v>
      </x:c>
      <x:c r="K6" s="8" t="str">
        <x:v>공급·사업 관계</x:v>
      </x:c>
      <x:c r="L6" s="8" t="str">
        <x:v>투자 연결</x:v>
      </x:c>
      <x:c r="M6" s="8" t="str">
        <x:v>검증 범위·한계</x:v>
      </x:c>
      <x:c r="N6" s="8" t="str">
        <x:v>상장 확인일</x:v>
      </x:c>
      <x:c r="O6" s="8" t="str">
        <x:v>원문</x:v>
      </x:c>
      <x:c r="P6" s="8" t="str">
        <x:v>판단 확신도</x:v>
      </x:c>
    </x:row>
    <x:row r="7" ht="24" hidden="0" customHeight="1">
      <x:c r="A7" s="2"/>
      <x:c r="B7" s="2"/>
      <x:c r="C7" s="45" t="str">
        <x:v>UV006</x:v>
      </x:c>
      <x:c r="D7" s="45" t="str">
        <x:v>1X</x:v>
      </x:c>
      <x:c r="E7" s="45" t="str">
        <x:v>1X Technologies</x:v>
      </x:c>
      <x:c r="F7" s="45" t="str">
        <x:v>노르웨이 기원·미국 사업</x:v>
      </x:c>
      <x:c r="G7" s="45" t="str">
        <x:v>완성체
모델·데이터·시뮬레이션</x:v>
      </x:c>
      <x:c r="H7" s="45" t="str">
        <x:v>공개시장 상장완료 미확인</x:v>
      </x:c>
      <x:c r="I7" s="46" t="str">
        <x:v>미확인·해당 없음</x:v>
      </x:c>
      <x:c r="J7" s="45" t="str">
        <x:v>미확인·해당 없음</x:v>
      </x:c>
      <x:c r="K7" s="45" t="str">
        <x:v>자체 개발</x:v>
      </x:c>
      <x:c r="L7" s="45" t="str">
        <x:v>NEO 가정용·원격지원 모델</x:v>
      </x:c>
      <x:c r="M7" s="45" t="str">
        <x:v>가정용 예약·배송·자율성을 분리</x:v>
      </x:c>
      <x:c r="N7" s="49" t="n">
        <x:v>46281</x:v>
      </x:c>
      <x:c r="O7" s="45" t="str">
        <x:v>https://www.1x.tech/</x:v>
      </x:c>
      <x:c r="P7" s="45" t="str">
        <x:v>조사 관련성 높음~85%; 사업 성공·투자 수익 확률 아님</x:v>
      </x:c>
    </x:row>
    <x:row r="8" ht="24" hidden="0" customHeight="1">
      <x:c r="A8" s="2"/>
      <x:c r="B8" s="2"/>
      <x:c r="C8" s="45" t="str">
        <x:v>UV009</x:v>
      </x:c>
      <x:c r="D8" s="45" t="str">
        <x:v>AGIBOT</x:v>
      </x:c>
      <x:c r="E8" s="45" t="str">
        <x:v>AGIBOT</x:v>
      </x:c>
      <x:c r="F8" s="45" t="str">
        <x:v>중국</x:v>
      </x:c>
      <x:c r="G8" s="45" t="str">
        <x:v>완성체
모델·데이터·시뮬레이션</x:v>
      </x:c>
      <x:c r="H8" s="45" t="str">
        <x:v>상장상태 미검증; 상장완료 1차 자료 미확인</x:v>
      </x:c>
      <x:c r="I8" s="46" t="str">
        <x:v>미확인·해당 없음</x:v>
      </x:c>
      <x:c r="J8" s="45" t="str">
        <x:v>미확인·해당 없음</x:v>
      </x:c>
      <x:c r="K8" s="45" t="str">
        <x:v>자체 개발·실제 공장 작업에 관한 제조사 발표 확인</x:v>
      </x:c>
      <x:c r="L8" s="45" t="str">
        <x:v>이족형·바퀴형 기체 및 Longcheer 현장 작업</x:v>
      </x:c>
      <x:c r="M8" s="45" t="str">
        <x:v>Longcheer 현장 결과는 AGIBOT 집계. 고객 독립 발표·제삼자 감사·계약 대가·최종 검수로 해석하지 않음.</x:v>
      </x:c>
      <x:c r="N8" s="49" t="n">
        <x:v>46281</x:v>
      </x:c>
      <x:c r="O8" s="45" t="str">
        <x:v>https://www.agibot.com/article/231/detail/83.html
https://www.agibot.com/</x:v>
      </x:c>
      <x:c r="P8" s="45" t="str">
        <x:v>조사 관련성 높음~85%; 사업 성공·투자 수익 확률 아님</x:v>
      </x:c>
    </x:row>
    <x:row r="9" ht="36" hidden="0" customHeight="1">
      <x:c r="A9" s="2"/>
      <x:c r="B9" s="2"/>
      <x:c r="C9" s="45" t="str">
        <x:v>UV003</x:v>
      </x:c>
      <x:c r="D9" s="45" t="str">
        <x:v>Agility Robotics</x:v>
      </x:c>
      <x:c r="E9" s="45" t="str">
        <x:v>Agility Robotics</x:v>
      </x:c>
      <x:c r="F9" s="45" t="str">
        <x:v>미국</x:v>
      </x:c>
      <x:c r="G9" s="45" t="str">
        <x:v>완성체
모델·데이터·시뮬레이션</x:v>
      </x:c>
      <x:c r="H9" s="45" t="str">
        <x:v>SPAC 합병계약 발표; 종결 미확인</x:v>
      </x:c>
      <x:c r="I9" s="46" t="str">
        <x:v>미확인·해당 없음</x:v>
      </x:c>
      <x:c r="J9" s="45" t="str">
        <x:v>미확인·해당 없음</x:v>
      </x:c>
      <x:c r="K9" s="45" t="str">
        <x:v>고객 계약 발표 확인</x:v>
      </x:c>
      <x:c r="L9" s="45" t="str">
        <x:v>Digit·GXO 다년 상업계약·RaaS</x:v>
      </x:c>
      <x:c r="M9" s="45" t="str">
        <x:v>합병 발표와 종결을 구분</x:v>
      </x:c>
      <x:c r="N9" s="49" t="n">
        <x:v>46281</x:v>
      </x:c>
      <x:c r="O9" s="45" t="str">
        <x:v>https://investors.gxo.com/news-releases/news-release-details/gxo-signs-industry-first-multi-year-agreement-agility-robotics
https://www.agilityrobotics.com/content/agility-robotics-to-go-public-through-merger-with-churchill-capital-corp-xi
https://www.agilityrobotics.com/content/agility-unveils-digit-5-humanoid-robot-built-for-cooperatively-safe-work-at-scale</x:v>
      </x:c>
      <x:c r="P9" s="45" t="str">
        <x:v>조사 관련성 높음~85%; 사업 성공·투자 수익 확률 아님</x:v>
      </x:c>
    </x:row>
    <x:row r="10" ht="24" hidden="0" customHeight="1">
      <x:c r="A10" s="2"/>
      <x:c r="B10" s="2"/>
      <x:c r="C10" s="45" t="str">
        <x:v>UV004</x:v>
      </x:c>
      <x:c r="D10" s="45" t="str">
        <x:v>Apptronik</x:v>
      </x:c>
      <x:c r="E10" s="45" t="str">
        <x:v>Apptronik, Inc.</x:v>
      </x:c>
      <x:c r="F10" s="45" t="str">
        <x:v>미국</x:v>
      </x:c>
      <x:c r="G10" s="45" t="str">
        <x:v>완성체</x:v>
      </x:c>
      <x:c r="H10" s="45" t="str">
        <x:v>사모조달 확인; 완료된 상장 1차 자료 미확인</x:v>
      </x:c>
      <x:c r="I10" s="46" t="str">
        <x:v>미확인·해당 없음</x:v>
      </x:c>
      <x:c r="J10" s="45" t="str">
        <x:v>미확인·해당 없음</x:v>
      </x:c>
      <x:c r="K10" s="45" t="str">
        <x:v>제조 협력 발표 확인</x:v>
      </x:c>
      <x:c r="L10" s="45" t="str">
        <x:v>Apollo·Jabil 제조협력</x:v>
      </x:c>
      <x:c r="M10" s="45" t="str">
        <x:v>제조 계약이 확정 최소물량을 의미하지 않음</x:v>
      </x:c>
      <x:c r="N10" s="49" t="n">
        <x:v>46281</x:v>
      </x:c>
      <x:c r="O10" s="45" t="str">
        <x:v>https://apptronik.com/news-collection/apptronik-and-jabil-collaborate-to-scale-production
https://apptronik.com/news-collection/apptronik-closes-over-935-million-series-a</x:v>
      </x:c>
      <x:c r="P10" s="45" t="str">
        <x:v>조사 관련성 높음~85%; 사업 성공·투자 수익 확률 아님</x:v>
      </x:c>
    </x:row>
    <x:row r="11" ht="60" hidden="0" customHeight="1">
      <x:c r="A11" s="2"/>
      <x:c r="B11" s="2"/>
      <x:c r="C11" s="45" t="str">
        <x:v>UV005</x:v>
      </x:c>
      <x:c r="D11" s="45" t="str">
        <x:v>Boston Dynamics</x:v>
      </x:c>
      <x:c r="E11" s="45" t="str">
        <x:v>Boston Dynamics, Inc.</x:v>
      </x:c>
      <x:c r="F11" s="45" t="str">
        <x:v>미국 / 한국 소유·산업화 연결</x:v>
      </x:c>
      <x:c r="G11" s="45" t="str">
        <x:v>완성체
대체 자동화</x:v>
      </x:c>
      <x:c r="H11" s="45" t="str">
        <x:v>독립 상장 미확인; 현대차그룹 관계사</x:v>
      </x:c>
      <x:c r="I11" s="46" t="str">
        <x:v>미확인·해당 없음</x:v>
      </x:c>
      <x:c r="J11" s="45" t="str">
        <x:v>미확인·해당 없음</x:v>
      </x:c>
      <x:c r="K11" s="45" t="str">
        <x:v>자체 개발·그룹 관계 확인</x:v>
      </x:c>
      <x:c r="L11" s="45" t="str">
        <x:v>Atlas와 기존 Spot·Stretch의 사업 차이</x:v>
      </x:c>
      <x:c r="M11" s="45" t="str">
        <x:v>미국 개발·생산기반; 현대차그룹 소유·고객 연결. 2021년80%는당시그룹측비율이며2026최종추가지분배분미확인</x:v>
      </x:c>
      <x:c r="N11" s="49" t="n">
        <x:v>46282</x:v>
      </x:c>
      <x:c r="O11" s="45" t="str">
        <x:v>https://bostondynamics.com/news/hyundai-motor-group-completes-acquisition-of-boston-dynamics-from-softbank/
https://www.hyundai.com/worldwide/en/newsroom/detail/0000001225
https://bostondynamics.com/products/atlas/
https://bostondynamics.com/news/boston-dynamics-expands-massachusetts-footprint-with-new-323000-square-foot-facility-in-waltham/</x:v>
      </x:c>
      <x:c r="P11" s="45" t="str">
        <x:v>조사 관련성 높음~85%; 사업 성공·투자 수익 확률 아님</x:v>
      </x:c>
    </x:row>
    <x:row r="12" ht="15" hidden="0" customHeight="1">
      <x:c r="A12" s="2"/>
      <x:c r="B12" s="2"/>
      <x:c r="C12" s="45" t="str">
        <x:v>UV014</x:v>
      </x:c>
      <x:c r="D12" s="45" t="str">
        <x:v>EngineAI</x:v>
      </x:c>
      <x:c r="E12" s="45" t="str">
        <x:v>EngineAI</x:v>
      </x:c>
      <x:c r="F12" s="45" t="str">
        <x:v>중국</x:v>
      </x:c>
      <x:c r="G12" s="45" t="str">
        <x:v>완성체</x:v>
      </x:c>
      <x:c r="H12" s="45" t="str">
        <x:v>미검증</x:v>
      </x:c>
      <x:c r="I12" s="46" t="str">
        <x:v>미확인·해당 없음</x:v>
      </x:c>
      <x:c r="J12" s="45" t="str">
        <x:v>미확인·해당 없음</x:v>
      </x:c>
      <x:c r="K12" s="45" t="str">
        <x:v>자체 개발·회사 주장</x:v>
      </x:c>
      <x:c r="L12" s="45" t="str">
        <x:v>PM01·T800 기체와 제품별 가격·용도</x:v>
      </x:c>
      <x:c r="M12" s="45" t="str">
        <x:v>출시 발표의 세계 최초·성능 우월 표현은 독립 검증 아님</x:v>
      </x:c>
      <x:c r="N12" s="49" t="str"/>
      <x:c r="O12" s="45" t="str">
        <x:v>https://en.engineai.com.cn/about-news-media/37.html</x:v>
      </x:c>
      <x:c r="P12" s="45" t="str">
        <x:v>조사 관련성 높음~85%; 사업 성공·투자 수익 확률 아님</x:v>
      </x:c>
    </x:row>
    <x:row r="13" ht="48" hidden="0" customHeight="1">
      <x:c r="A13" s="2"/>
      <x:c r="B13" s="2"/>
      <x:c r="C13" s="45" t="str">
        <x:v>UV002</x:v>
      </x:c>
      <x:c r="D13" s="45" t="str">
        <x:v>Figure</x:v>
      </x:c>
      <x:c r="E13" s="45" t="str">
        <x:v>Figure AI</x:v>
      </x:c>
      <x:c r="F13" s="45" t="str">
        <x:v>미국</x:v>
      </x:c>
      <x:c r="G13" s="45" t="str">
        <x:v>완성체
모델·데이터·시뮬레이션</x:v>
      </x:c>
      <x:c r="H13" s="45" t="str">
        <x:v>비상장 분석군; 완료된 상장 1차 자료 미확인</x:v>
      </x:c>
      <x:c r="I13" s="46" t="str">
        <x:v>미확인·해당 없음</x:v>
      </x:c>
      <x:c r="J13" s="45" t="str">
        <x:v>미확인·해당 없음</x:v>
      </x:c>
      <x:c r="K13" s="45" t="str">
        <x:v>자체 개발·고객 발표 교차확인</x:v>
      </x:c>
      <x:c r="L13" s="45" t="str">
        <x:v>Figure 기체·Helix 및 BMW 제조 현장 사례</x:v>
      </x:c>
      <x:c r="M13" s="45" t="str">
        <x:v>BMW와 공동 관계 확인; 경제성 비공개</x:v>
      </x:c>
      <x:c r="N13" s="49" t="n">
        <x:v>46281</x:v>
      </x:c>
      <x:c r="O13" s="45" t="str">
        <x:v>https://www.figure.ai/news/production-at-bmw
https://www.figure.ai/news/series-c
https://www.press.bmwgroup.com/global/article/detail/T0455864EN/bmw-group-to-deploy-humanoid-robots-in-production-in-germany-for-the-first-time?language=en</x:v>
      </x:c>
      <x:c r="P13" s="45" t="str">
        <x:v>조사 관련성 높음~85%; 사업 성공·투자 수익 확률 아님</x:v>
      </x:c>
    </x:row>
    <x:row r="14" ht="24" hidden="0" customHeight="1">
      <x:c r="A14" s="2"/>
      <x:c r="B14" s="2"/>
      <x:c r="C14" s="45" t="str">
        <x:v>UV010</x:v>
      </x:c>
      <x:c r="D14" s="45" t="str">
        <x:v>Fourier</x:v>
      </x:c>
      <x:c r="E14" s="45" t="str">
        <x:v>Fourier</x:v>
      </x:c>
      <x:c r="F14" s="45" t="str">
        <x:v>중국</x:v>
      </x:c>
      <x:c r="G14" s="45" t="str">
        <x:v>완성체
모터·서보·감속기·직선구동</x:v>
      </x:c>
      <x:c r="H14" s="45" t="str">
        <x:v>미검증</x:v>
      </x:c>
      <x:c r="I14" s="46" t="str">
        <x:v>미확인·해당 없음</x:v>
      </x:c>
      <x:c r="J14" s="45" t="str">
        <x:v>미확인·해당 없음</x:v>
      </x:c>
      <x:c r="K14" s="45" t="str">
        <x:v>자체 개발</x:v>
      </x:c>
      <x:c r="L14" s="45" t="str">
        <x:v>GRx 이족형·돌봄 지향 설계</x:v>
      </x:c>
      <x:c r="M14" s="45" t="str">
        <x:v>의료재활 본업과 일반 휴머노이드 매출을 분리</x:v>
      </x:c>
      <x:c r="N14" s="49" t="str"/>
      <x:c r="O14" s="45" t="str">
        <x:v>https://www.fftai.com/</x:v>
      </x:c>
      <x:c r="P14" s="45" t="str">
        <x:v>조사 관련성 높음~85%; 사업 성공·투자 수익 확률 아님</x:v>
      </x:c>
    </x:row>
    <x:row r="15" ht="24" hidden="0" customHeight="1">
      <x:c r="A15" s="2"/>
      <x:c r="B15" s="2"/>
      <x:c r="C15" s="45" t="str">
        <x:v>UV015</x:v>
      </x:c>
      <x:c r="D15" s="45" t="str">
        <x:v>Galbot</x:v>
      </x:c>
      <x:c r="E15" s="45" t="str">
        <x:v>Galbot</x:v>
      </x:c>
      <x:c r="F15" s="45" t="str">
        <x:v>중국</x:v>
      </x:c>
      <x:c r="G15" s="45" t="str">
        <x:v>완성체
모델·데이터·시뮬레이션</x:v>
      </x:c>
      <x:c r="H15" s="45" t="str">
        <x:v>미검증</x:v>
      </x:c>
      <x:c r="I15" s="46" t="str">
        <x:v>미확인·해당 없음</x:v>
      </x:c>
      <x:c r="J15" s="45" t="str">
        <x:v>미확인·해당 없음</x:v>
      </x:c>
      <x:c r="K15" s="45" t="str">
        <x:v>자체 개발</x:v>
      </x:c>
      <x:c r="L15" s="45" t="str">
        <x:v>G1·ET1·AstraBrain 및 시뮬레이션 기반 조작</x:v>
      </x:c>
      <x:c r="M15" s="45" t="str">
        <x:v>바퀴형·이족형과 모델을 별도 평가</x:v>
      </x:c>
      <x:c r="N15" s="49" t="str"/>
      <x:c r="O15" s="45" t="str">
        <x:v>https://www.galbot.com/</x:v>
      </x:c>
      <x:c r="P15" s="45" t="str">
        <x:v>조사 관련성 높음~85%; 사업 성공·투자 수익 확률 아님</x:v>
      </x:c>
    </x:row>
    <x:row r="16" ht="60" hidden="0" customHeight="1">
      <x:c r="A16" s="2"/>
      <x:c r="B16" s="2"/>
      <x:c r="C16" s="45" t="str">
        <x:v>UV023</x:v>
      </x:c>
      <x:c r="D16" s="45" t="str">
        <x:v>Hexagon</x:v>
      </x:c>
      <x:c r="E16" s="45" t="str">
        <x:v>Hexagon AB</x:v>
      </x:c>
      <x:c r="F16" s="45" t="str">
        <x:v>스웨덴 상장·스위스 로봇사업</x:v>
      </x:c>
      <x:c r="G16" s="45" t="str">
        <x:v>완성체
비전·힘·위치·안전센서
모델·데이터·시뮬레이션</x:v>
      </x:c>
      <x:c r="H16" s="45" t="str">
        <x:v>상장</x:v>
      </x:c>
      <x:c r="I16" s="46" t="str">
        <x:v>HEXA B</x:v>
      </x:c>
      <x:c r="J16" s="45" t="str">
        <x:v>NASDAQ Stockholm</x:v>
      </x:c>
      <x:c r="K16" s="45" t="str">
        <x:v>고객·공급 협력 발표</x:v>
      </x:c>
      <x:c r="L16" s="45" t="str">
        <x:v>AEON·공간인지·Schaeffler 부품협력</x:v>
      </x:c>
      <x:c r="M16" s="45" t="str">
        <x:v>Hexagon Robotics와 모회사 중복 집계 안 함</x:v>
      </x:c>
      <x:c r="N16" s="49" t="n">
        <x:v>46281</x:v>
      </x:c>
      <x:c r="O16" s="45" t="str">
        <x:v>https://www.schaeffler.com/en/investor-relations/events-publications/ir-releases/ir_releases_detail.jsp?id=88184988
https://hexagon.com/company/newsroom/press-releases/2026/hexagons-shareholding-in-hangzhou-yushu-technology-co-ltd-unitree-technologies
https://www.press.bmwgroup.com/global/article/detail/T0455864EN/bmw-group-to-deploy-humanoid-robots-in-production-in-germany-for-the-first-time?language=en</x:v>
      </x:c>
      <x:c r="P16" s="45" t="str">
        <x:v>조사 관련성 높음~85%; 사업 성공·투자 수익 확률 아님</x:v>
      </x:c>
    </x:row>
    <x:row r="17" ht="24" hidden="0" customHeight="1">
      <x:c r="A17" s="2"/>
      <x:c r="B17" s="2"/>
      <x:c r="C17" s="45" t="str">
        <x:v>UV021</x:v>
      </x:c>
      <x:c r="D17" s="45" t="str">
        <x:v>Humanoid</x:v>
      </x:c>
      <x:c r="E17" s="45" t="str">
        <x:v>Humanoid</x:v>
      </x:c>
      <x:c r="F17" s="45" t="str">
        <x:v>영국</x:v>
      </x:c>
      <x:c r="G17" s="45" t="str">
        <x:v>완성체
모델·데이터·시뮬레이션</x:v>
      </x:c>
      <x:c r="H17" s="45" t="str">
        <x:v>미검증</x:v>
      </x:c>
      <x:c r="I17" s="46" t="str">
        <x:v>미확인·해당 없음</x:v>
      </x:c>
      <x:c r="J17" s="45" t="str">
        <x:v>미확인·해당 없음</x:v>
      </x:c>
      <x:c r="K17" s="45" t="str">
        <x:v>공급·고객 협력 발표</x:v>
      </x:c>
      <x:c r="L17" s="45" t="str">
        <x:v>HMND·Schaeffler·Siemens 현장·Bosch 제조</x:v>
      </x:c>
      <x:c r="M17" s="45" t="str">
        <x:v>공급계약·도입계획을 실제 출하로 합산하지 않음</x:v>
      </x:c>
      <x:c r="N17" s="49" t="str"/>
      <x:c r="O17" s="45" t="str">
        <x:v>https://thehumanoid.ai/</x:v>
      </x:c>
      <x:c r="P17" s="45" t="str">
        <x:v>조사 관련성 높음~85%; 사업 성공·투자 수익 확률 아님</x:v>
      </x:c>
    </x:row>
    <x:row r="18" ht="24" hidden="0" customHeight="1">
      <x:c r="A18" s="2"/>
      <x:c r="B18" s="2"/>
      <x:c r="C18" s="45" t="str">
        <x:v>UV019</x:v>
      </x:c>
      <x:c r="D18" s="45" t="str">
        <x:v>Kepler</x:v>
      </x:c>
      <x:c r="E18" s="45" t="str">
        <x:v>Kepler Exploration Robotics</x:v>
      </x:c>
      <x:c r="F18" s="45" t="str">
        <x:v>중국</x:v>
      </x:c>
      <x:c r="G18" s="45" t="str">
        <x:v>완성체
모터·서보·감속기·직선구동</x:v>
      </x:c>
      <x:c r="H18" s="45" t="str">
        <x:v>미검증</x:v>
      </x:c>
      <x:c r="I18" s="46" t="str">
        <x:v>미확인·해당 없음</x:v>
      </x:c>
      <x:c r="J18" s="45" t="str">
        <x:v>미확인·해당 없음</x:v>
      </x:c>
      <x:c r="K18" s="45" t="str">
        <x:v>자체 개발</x:v>
      </x:c>
      <x:c r="L18" s="45" t="str">
        <x:v>Forerunner 기체·구동 아키텍처</x:v>
      </x:c>
      <x:c r="M18" s="45" t="str">
        <x:v>독립 고객 재주문 확인 별도 필요</x:v>
      </x:c>
      <x:c r="N18" s="49" t="str"/>
      <x:c r="O18" s="45" t="str">
        <x:v>https://www.gotokepler.com/</x:v>
      </x:c>
      <x:c r="P18" s="45" t="str">
        <x:v>조사 관련성 높음~85%; 사업 성공·투자 수익 확률 아님</x:v>
      </x:c>
    </x:row>
    <x:row r="19" ht="15" hidden="0" customHeight="1">
      <x:c r="A19" s="2"/>
      <x:c r="B19" s="2"/>
      <x:c r="C19" s="45" t="str">
        <x:v>UV012</x:v>
      </x:c>
      <x:c r="D19" s="45" t="str">
        <x:v>Leju</x:v>
      </x:c>
      <x:c r="E19" s="45" t="str">
        <x:v>Leju (Shenzhen) Robotics Co., Ltd.</x:v>
      </x:c>
      <x:c r="F19" s="45" t="str">
        <x:v>중국</x:v>
      </x:c>
      <x:c r="G19" s="45" t="str">
        <x:v>완성체</x:v>
      </x:c>
      <x:c r="H19" s="45" t="str">
        <x:v>미검증</x:v>
      </x:c>
      <x:c r="I19" s="46" t="str">
        <x:v>미확인·해당 없음</x:v>
      </x:c>
      <x:c r="J19" s="45" t="str">
        <x:v>미확인·해당 없음</x:v>
      </x:c>
      <x:c r="K19" s="45" t="str">
        <x:v>자체 개발</x:v>
      </x:c>
      <x:c r="L19" s="45" t="str">
        <x:v>Kuavo 일반 휴머노이드·교육·산업 시나리오</x:v>
      </x:c>
      <x:c r="M19" s="45" t="str">
        <x:v>교육 매출과 산업 작업 매출 구분</x:v>
      </x:c>
      <x:c r="N19" s="49" t="str"/>
      <x:c r="O19" s="45" t="str">
        <x:v>https://www.lejurobot.com/</x:v>
      </x:c>
      <x:c r="P19" s="45" t="str">
        <x:v>조사 관련성 높음~85%; 사업 성공·투자 수익 확률 아님</x:v>
      </x:c>
    </x:row>
    <x:row r="20" ht="24" hidden="0" customHeight="1">
      <x:c r="A20" s="2"/>
      <x:c r="B20" s="2"/>
      <x:c r="C20" s="45" t="str">
        <x:v>UV011</x:v>
      </x:c>
      <x:c r="D20" s="45" t="str">
        <x:v>LimX Dynamics</x:v>
      </x:c>
      <x:c r="E20" s="45" t="str">
        <x:v>LimX Dynamics</x:v>
      </x:c>
      <x:c r="F20" s="45" t="str">
        <x:v>중국</x:v>
      </x:c>
      <x:c r="G20" s="45" t="str">
        <x:v>완성체
모델·데이터·시뮬레이션</x:v>
      </x:c>
      <x:c r="H20" s="45" t="str">
        <x:v>미검증</x:v>
      </x:c>
      <x:c r="I20" s="46" t="str">
        <x:v>미확인·해당 없음</x:v>
      </x:c>
      <x:c r="J20" s="45" t="str">
        <x:v>미확인·해당 없음</x:v>
      </x:c>
      <x:c r="K20" s="45" t="str">
        <x:v>자체 개발</x:v>
      </x:c>
      <x:c r="L20" s="45" t="str">
        <x:v>Oli·TRON 및 학습·제어 도구</x:v>
      </x:c>
      <x:c r="M20" s="45" t="str">
        <x:v>연구 플랫폼 판매와 노동대체 실적 구분</x:v>
      </x:c>
      <x:c r="N20" s="49" t="str"/>
      <x:c r="O20" s="45" t="str">
        <x:v>https://www.limxdynamics.com/</x:v>
      </x:c>
      <x:c r="P20" s="45" t="str">
        <x:v>조사 관련성 높음~85%; 사업 성공·투자 수익 확률 아님</x:v>
      </x:c>
    </x:row>
    <x:row r="21" ht="48" hidden="0" customHeight="1">
      <x:c r="A21" s="2"/>
      <x:c r="B21" s="2"/>
      <x:c r="C21" s="45" t="str">
        <x:v>UV020</x:v>
      </x:c>
      <x:c r="D21" s="45" t="str">
        <x:v>NEURA Robotics</x:v>
      </x:c>
      <x:c r="E21" s="45" t="str">
        <x:v>NEURA Robotics GmbH</x:v>
      </x:c>
      <x:c r="F21" s="45" t="str">
        <x:v>독일</x:v>
      </x:c>
      <x:c r="G21" s="45" t="str">
        <x:v>완성체
비전·힘·위치·안전센서
모델·데이터·시뮬레이션
대체 자동화</x:v>
      </x:c>
      <x:c r="H21" s="45" t="str">
        <x:v>미검증</x:v>
      </x:c>
      <x:c r="I21" s="46" t="str">
        <x:v>미확인·해당 없음</x:v>
      </x:c>
      <x:c r="J21" s="45" t="str">
        <x:v>미확인·해당 없음</x:v>
      </x:c>
      <x:c r="K21" s="45" t="str">
        <x:v>자체 개발·협력 발표</x:v>
      </x:c>
      <x:c r="L21" s="45" t="str">
        <x:v>4NE1·Omnisensor·Neuraverse·협동로봇</x:v>
      </x:c>
      <x:c r="M21" s="45" t="str">
        <x:v>제품 예약과 운영 검증 구분</x:v>
      </x:c>
      <x:c r="N21" s="49" t="str"/>
      <x:c r="O21" s="45" t="str">
        <x:v>https://neura-robotics.com/</x:v>
      </x:c>
      <x:c r="P21" s="45" t="str">
        <x:v>조사 관련성 높음~85%; 사업 성공·투자 수익 확률 아님</x:v>
      </x:c>
    </x:row>
    <x:row r="22" ht="24" hidden="0" customHeight="1">
      <x:c r="A22" s="2"/>
      <x:c r="B22" s="2"/>
      <x:c r="C22" s="45" t="str">
        <x:v>UV024</x:v>
      </x:c>
      <x:c r="D22" s="45" t="str">
        <x:v>PAL Robotics</x:v>
      </x:c>
      <x:c r="E22" s="45" t="str">
        <x:v>PAL Robotics</x:v>
      </x:c>
      <x:c r="F22" s="45" t="str">
        <x:v>스페인</x:v>
      </x:c>
      <x:c r="G22" s="45" t="str">
        <x:v>완성체
대체 자동화</x:v>
      </x:c>
      <x:c r="H22" s="45" t="str">
        <x:v>미검증</x:v>
      </x:c>
      <x:c r="I22" s="46" t="str">
        <x:v>미확인·해당 없음</x:v>
      </x:c>
      <x:c r="J22" s="45" t="str">
        <x:v>미확인·해당 없음</x:v>
      </x:c>
      <x:c r="K22" s="45" t="str">
        <x:v>자체 개발·제품 판매</x:v>
      </x:c>
      <x:c r="L22" s="45" t="str">
        <x:v>TALOS·TIAGo Pro·바퀴형 양팔 비교</x:v>
      </x:c>
      <x:c r="M22" s="45" t="str">
        <x:v>연구 장비와 산업 노동대체를 구분</x:v>
      </x:c>
      <x:c r="N22" s="49" t="str"/>
      <x:c r="O22" s="45" t="str">
        <x:v>https://pal-robotics.com/</x:v>
      </x:c>
      <x:c r="P22" s="45" t="str">
        <x:v>조사 관련성 높음~85%; 사업 성공·투자 수익 확률 아님</x:v>
      </x:c>
    </x:row>
    <x:row r="23" ht="96" hidden="0" customHeight="1">
      <x:c r="A23" s="2"/>
      <x:c r="B23" s="2"/>
      <x:c r="C23" s="45" t="str">
        <x:v>UV096</x:v>
      </x:c>
      <x:c r="D23" s="45" t="str">
        <x:v>레인보우로보틱스</x:v>
      </x:c>
      <x:c r="E23" s="45" t="str">
        <x:v>Rainbow Robotics</x:v>
      </x:c>
      <x:c r="F23" s="45" t="str">
        <x:v>한국</x:v>
      </x:c>
      <x:c r="G23" s="45" t="str">
        <x:v>완성체
대체 자동화
제조·통합·정비</x:v>
      </x:c>
      <x:c r="H23" s="45" t="str">
        <x:v>상장; 종목식별 Google Finance 교차확인</x:v>
      </x:c>
      <x:c r="I23" s="47" t="str">
        <x:v>277810</x:v>
      </x:c>
      <x:c r="J23" s="45" t="str">
        <x:v>KRX KOSDAQ</x:v>
      </x:c>
      <x:c r="K23" s="45" t="str">
        <x:v>자체 개발 또는 공시·고객·연구 원문으로 관계 확인</x:v>
      </x:c>
      <x:c r="L23" s="45" t="str">
        <x:v>RB-Y1바퀴형양팔·HUBO계보·해외연구팀실물활용</x:v>
      </x:c>
      <x:c r="M23" s="45" t="str">
        <x:v>연구실채택과물류생산배치구분;전체DOF표기불일치로조작범위만비교</x:v>
      </x:c>
      <x:c r="N23" s="49" t="n">
        <x:v>46282</x:v>
      </x:c>
      <x:c r="O23" s="45" t="str">
        <x:v>https://news.samsung.com/global/samsung-electronics-to-become-largest-shareholder-in-rainbow-robotics-accelerating-future-robot-development
https://eiec.kdi.re.kr/policy/materialView.do?num=263955
https://www.kaist.ac.kr/newsen/html/news/?mng_no=4379&amp;mode=V
https://rainbow-robotics.com/products/rb-y1/
https://arxiv.org/html/2606.29940v2
https://arxiv.org/html/2606.07934v1
https://www.google.com/finance/quote/277810:KOSDAQ</x:v>
      </x:c>
      <x:c r="P23" s="45" t="str">
        <x:v>조사 포함 근거 높음~90%; 주식 수익 또는 세계 순위의 확률 아님</x:v>
      </x:c>
    </x:row>
    <x:row r="24" ht="24" hidden="0" customHeight="1">
      <x:c r="A24" s="2"/>
      <x:c r="B24" s="2"/>
      <x:c r="C24" s="45" t="str">
        <x:v>UV026</x:v>
      </x:c>
      <x:c r="D24" s="45" t="str">
        <x:v>Reflex Robotics</x:v>
      </x:c>
      <x:c r="E24" s="45" t="str">
        <x:v>Reflex Robotics</x:v>
      </x:c>
      <x:c r="F24" s="45" t="str">
        <x:v>미국</x:v>
      </x:c>
      <x:c r="G24" s="45" t="str">
        <x:v>완성체
모델·데이터·시뮬레이션</x:v>
      </x:c>
      <x:c r="H24" s="45" t="str">
        <x:v>미검증</x:v>
      </x:c>
      <x:c r="I24" s="46" t="str">
        <x:v>미확인·해당 없음</x:v>
      </x:c>
      <x:c r="J24" s="45" t="str">
        <x:v>미확인·해당 없음</x:v>
      </x:c>
      <x:c r="K24" s="45" t="str">
        <x:v>자체 개발·회사 주장</x:v>
      </x:c>
      <x:c r="L24" s="45" t="str">
        <x:v>바퀴형 산업용 휴머노이드·실시간 감독 복구</x:v>
      </x:c>
      <x:c r="M24" s="45" t="str">
        <x:v>감독을 포함한 운영모델로 기록</x:v>
      </x:c>
      <x:c r="N24" s="49" t="str"/>
      <x:c r="O24" s="45" t="str">
        <x:v>https://reflexrobotics.com/</x:v>
      </x:c>
      <x:c r="P24" s="45" t="str">
        <x:v>조사 관련성 높음~85%; 사업 성공·투자 수익 확률 아님</x:v>
      </x:c>
    </x:row>
    <x:row r="25" ht="36" hidden="0" customHeight="1">
      <x:c r="A25" s="2"/>
      <x:c r="B25" s="2"/>
      <x:c r="C25" s="45" t="str">
        <x:v>UV017</x:v>
      </x:c>
      <x:c r="D25" s="45" t="str">
        <x:v>RobotEra</x:v>
      </x:c>
      <x:c r="E25" s="45" t="str">
        <x:v>RobotEra Technology Co., Ltd.</x:v>
      </x:c>
      <x:c r="F25" s="45" t="str">
        <x:v>중국</x:v>
      </x:c>
      <x:c r="G25" s="45" t="str">
        <x:v>완성체
손·촉각
모델·데이터·시뮬레이션</x:v>
      </x:c>
      <x:c r="H25" s="45" t="str">
        <x:v>미검증</x:v>
      </x:c>
      <x:c r="I25" s="46" t="str">
        <x:v>미확인·해당 없음</x:v>
      </x:c>
      <x:c r="J25" s="45" t="str">
        <x:v>미확인·해당 없음</x:v>
      </x:c>
      <x:c r="K25" s="45" t="str">
        <x:v>자체 개발</x:v>
      </x:c>
      <x:c r="L25" s="45" t="str">
        <x:v>L7·Q5·M7 및 손·VLA</x:v>
      </x:c>
      <x:c r="M25" s="45" t="str">
        <x:v>검색된 공식 제품 설명 확인; 일부 직접읽기 시간초과</x:v>
      </x:c>
      <x:c r="N25" s="49" t="str"/>
      <x:c r="O25" s="45" t="str">
        <x:v>https://www.robotera.com/</x:v>
      </x:c>
      <x:c r="P25" s="45" t="str">
        <x:v>조사 관련성 높음~85%; 사업 성공·투자 수익 확률 아님</x:v>
      </x:c>
    </x:row>
    <x:row r="26" ht="48" hidden="0" customHeight="1">
      <x:c r="A26" s="2"/>
      <x:c r="B26" s="2"/>
      <x:c r="C26" s="45" t="str">
        <x:v>UV022</x:v>
      </x:c>
      <x:c r="D26" s="45" t="str">
        <x:v>Sanctuary AI</x:v>
      </x:c>
      <x:c r="E26" s="45" t="str">
        <x:v>Sanctuary Cognitive Systems Corporation</x:v>
      </x:c>
      <x:c r="F26" s="45" t="str">
        <x:v>캐나다</x:v>
      </x:c>
      <x:c r="G26" s="45" t="str">
        <x:v>완성체
손·촉각
모델·데이터·시뮬레이션
대체 자동화</x:v>
      </x:c>
      <x:c r="H26" s="45" t="str">
        <x:v>미검증</x:v>
      </x:c>
      <x:c r="I26" s="46" t="str">
        <x:v>미확인·해당 없음</x:v>
      </x:c>
      <x:c r="J26" s="45" t="str">
        <x:v>미확인·해당 없음</x:v>
      </x:c>
      <x:c r="K26" s="45" t="str">
        <x:v>자체 개발·전략 전환 발표</x:v>
      </x:c>
      <x:c r="L26" s="45" t="str">
        <x:v>Phoenix·손·기존 산업용 기체에 Physical AI 배치</x:v>
      </x:c>
      <x:c r="M26" s="45" t="str">
        <x:v>현재 사이트는 기존 로봇용 AI를 우선 제시; 휴머노이드는 로드맵 포함</x:v>
      </x:c>
      <x:c r="N26" s="49" t="str"/>
      <x:c r="O26" s="45" t="str">
        <x:v>https://sanctuary.ai/</x:v>
      </x:c>
      <x:c r="P26" s="45" t="str">
        <x:v>조사 관련성 높음~85%; 사업 성공·투자 수익 확률 아님</x:v>
      </x:c>
    </x:row>
    <x:row r="27" ht="48" hidden="0" customHeight="1">
      <x:c r="A27" s="2"/>
      <x:c r="B27" s="2"/>
      <x:c r="C27" s="45" t="str">
        <x:v>UV001</x:v>
      </x:c>
      <x:c r="D27" s="45" t="str">
        <x:v>Tesla</x:v>
      </x:c>
      <x:c r="E27" s="45" t="str">
        <x:v>Tesla, Inc.</x:v>
      </x:c>
      <x:c r="F27" s="45" t="str">
        <x:v>미국</x:v>
      </x:c>
      <x:c r="G27" s="45" t="str">
        <x:v>완성체
모델·데이터·시뮬레이션
모터·서보·감속기·직선구동
고객·사용자</x:v>
      </x:c>
      <x:c r="H27" s="45" t="str">
        <x:v>상장</x:v>
      </x:c>
      <x:c r="I27" s="46" t="str">
        <x:v>TSLA</x:v>
      </x:c>
      <x:c r="J27" s="45" t="str">
        <x:v>NASDAQ</x:v>
      </x:c>
      <x:c r="K27" s="45" t="str">
        <x:v>자체 개발</x:v>
      </x:c>
      <x:c r="L27" s="45" t="str">
        <x:v>Optimus 완성체·자체 AI·제조내재화 비교</x:v>
      </x:c>
      <x:c r="M27" s="45" t="str">
        <x:v>양산 목표와 고객 유상납품을 분리</x:v>
      </x:c>
      <x:c r="N27" s="49" t="n">
        <x:v>46281</x:v>
      </x:c>
      <x:c r="O27" s="45" t="str">
        <x:v>https://www.tesla.com/AI
https://ir.tesla.com/_flysystem/s3/sec/000162828026046717/tsla-20260702-gen.pdf
https://ir.tesla.com/</x:v>
      </x:c>
      <x:c r="P27" s="45" t="str">
        <x:v>조사 관련성 높음~85%; 사업 성공·투자 수익 확률 아님</x:v>
      </x:c>
    </x:row>
    <x:row r="28" ht="60" hidden="0" customHeight="1">
      <x:c r="A28" s="2"/>
      <x:c r="B28" s="2"/>
      <x:c r="C28" s="45" t="str">
        <x:v>UV008</x:v>
      </x:c>
      <x:c r="D28" s="45" t="str">
        <x:v>UBTECH</x:v>
      </x:c>
      <x:c r="E28" s="45" t="str">
        <x:v>UBTECH Robotics Corp Ltd</x:v>
      </x:c>
      <x:c r="F28" s="45" t="str">
        <x:v>중국</x:v>
      </x:c>
      <x:c r="G28" s="45" t="str">
        <x:v>완성체</x:v>
      </x:c>
      <x:c r="H28" s="45" t="str">
        <x:v>상장</x:v>
      </x:c>
      <x:c r="I28" s="48" t="str">
        <x:v>9880</x:v>
      </x:c>
      <x:c r="J28" s="45" t="str">
        <x:v>HKEX</x:v>
      </x:c>
      <x:c r="K28" s="45" t="str">
        <x:v>제조사 적용 발표·Dongfeng 고객 측 현장 투입 확인</x:v>
      </x:c>
      <x:c r="L28" s="45" t="str">
        <x:v>Walker 산업용 및 여러 자동차 고객 사례</x:v>
      </x:c>
      <x:c r="M28" s="45" t="str">
        <x:v>관계 존재·현장 투입과 유상 납품·매출 인식은 별개. Dongfeng의 Walker S1 8대 투입은 고객 확인. 고객별 유상 조건·재주문·경제성은 미확인; 범주별 공시 매출은 확인. 2026 H1 휴머노이드 제품·서비스 범주는 바퀴형과 서비스를 포함하며 이족 Walker 단독 매출이 아님.</x:v>
      </x:c>
      <x:c r="N28" s="49" t="n">
        <x:v>46281</x:v>
      </x:c>
      <x:c r="O28" s="45" t="str">
        <x:v>https://www.ubtrobot.com/en/humanoid/solutions/industry
https://owebsite-cdn.ubtrobot.com/resources/file/2025/03/03/650707793301573.pdf
https://www.hkex.com.hk/Market-Data/Securities-Prices/Equities/Equities-Quote?sc_lang=en&amp;sym=9880
https://www.dfmc.com.cn/news/company/news_20250619_0945.html
https://owebsite-cdn.ubtrobot.com/resources/file/2026/09/02/844614814105669.pdf</x:v>
      </x:c>
      <x:c r="P28" s="45" t="str">
        <x:v>조사 관련성 높음~85%; 사업 성공·투자 수익 확률 아님</x:v>
      </x:c>
    </x:row>
    <x:row r="29" ht="84" hidden="0" customHeight="1">
      <x:c r="A29" s="2"/>
      <x:c r="B29" s="2"/>
      <x:c r="C29" s="45" t="str">
        <x:v>UV007</x:v>
      </x:c>
      <x:c r="D29" s="45" t="str">
        <x:v>Unitree</x:v>
      </x:c>
      <x:c r="E29" s="45" t="str">
        <x:v>Unitree Robotics</x:v>
      </x:c>
      <x:c r="F29" s="45" t="str">
        <x:v>중국</x:v>
      </x:c>
      <x:c r="G29" s="45" t="str">
        <x:v>완성체
모터·서보·감속기·직선구동</x:v>
      </x:c>
      <x:c r="H29" s="45" t="str">
        <x:v>2026-08-19 상장 완료</x:v>
      </x:c>
      <x:c r="I29" s="47" t="str">
        <x:v>688836</x:v>
      </x:c>
      <x:c r="J29" s="45" t="str">
        <x:v>상하이 STAR</x:v>
      </x:c>
      <x:c r="K29" s="45" t="str">
        <x:v>자체 개발·협력 발표 확인</x:v>
      </x:c>
      <x:c r="L29" s="45" t="str">
        <x:v>H·G·R 계열 및 NVIDIA 연구용 기준설계</x:v>
      </x:c>
      <x:c r="M29" s="45" t="str">
        <x:v>상장사항은 2026-09-16 확인자료 사용</x:v>
      </x:c>
      <x:c r="N29" s="49" t="n">
        <x:v>46281</x:v>
      </x:c>
      <x:c r="O29" s="45" t="str">
        <x:v>https://nvidianews.nvidia.com/news/nvidia-open-humanoid-robot-reference-design
https://www.unitree.com/investor/
https://www.unitree.com/disclosure/listedinfo/announcement/%E5%AE%87%E6%A0%91%E7%A7%91%E6%8A%80%20%E5%85%B3%E4%BA%8E%E5%8F%98%E6%9B%B4%E6%B3%A8%E5%86%8C%E8%B5%84%E6%9C%AC%E3%80%81%E5%85%AC%E5%8F%B8%E7%B1%BB%E5%9E%8B%E5%8F%8A%E4%BF%AE%E8%AE%A2%E3%80%8A%E5%85%AC%E5%8F%B8%E7%AB%A0%E7%A8%8B%E3%80%8B%E5%B9%B6%E5%8A%9E%E7%90%86%E5%B7%A5%E5%95%86%E5%8F%98%E6%9B%B4%E7%99%BB%E8%AE%B0%E7%9A%84%E5%85%AC%E5%91%8A.pdf</x:v>
      </x:c>
      <x:c r="P29" s="45" t="str">
        <x:v>조사 관련성 높음~85%; 사업 성공·투자 수익 확률 아님</x:v>
      </x:c>
    </x:row>
    <x:row r="30" ht="24" hidden="0" customHeight="1">
      <x:c r="A30" s="2"/>
      <x:c r="B30" s="2"/>
      <x:c r="C30" s="45" t="str">
        <x:v>UV104</x:v>
      </x:c>
      <x:c r="D30" s="45" t="str">
        <x:v>VinDynamics</x:v>
      </x:c>
      <x:c r="E30" s="45" t="str">
        <x:v>VinDynamics (정확한 법인명·지분율은 이번 자료에서 미확인)</x:v>
      </x:c>
      <x:c r="F30" s="45" t="str">
        <x:v>베트남·Vingroup 계열; 발표 거점 하노이</x:v>
      </x:c>
      <x:c r="G30" s="45" t="str">
        <x:v>완성체</x:v>
      </x:c>
      <x:c r="H30" s="45" t="str">
        <x:v>독립 상장 여부 미검증; Vingroup 계열이라는 파트너 발표 확인</x:v>
      </x:c>
      <x:c r="I30" s="46" t="str">
        <x:v>미확인·해당 없음</x:v>
      </x:c>
      <x:c r="J30" s="45" t="str">
        <x:v>미확인·해당 없음</x:v>
      </x:c>
      <x:c r="K30" s="45" t="str">
        <x:v>2026-04-22 Schaeffler와 유성기어박스 개발·공급 및 공동 데이터 수집 협약 확인</x:v>
      </x:c>
      <x:c r="L30" s="45" t="str">
        <x:v>휴머노이드 관절·액추에이터 개발과 응용 데이터 협력</x:v>
      </x:c>
      <x:c r="M30" s="45" t="str">
        <x:v>파트너 공식발표는 Vingroup 소속과 하노이 공동발표, 기어박스·예지정비 데이터 협력만 확인한다. 자체 R&amp;D 인원·지분율·양산·유상납품·매출은 미확인.</x:v>
      </x:c>
      <x:c r="N30" s="49" t="str">
        <x:v>미확인</x:v>
      </x:c>
      <x:c r="O30" s="45" t="str">
        <x:v>https://www.schaeffler.com/en/investor-relations/events-publications/ir-releases/ir_releases_detail.jsp?id=88184972</x:v>
      </x:c>
      <x:c r="P30" s="45" t="str">
        <x:v>협력 사실 높음~95%; 세계 상업 경쟁력 판정 미정</x:v>
      </x:c>
    </x:row>
    <x:row r="31" ht="24" hidden="0" customHeight="1">
      <x:c r="A31" s="2"/>
      <x:c r="B31" s="2"/>
      <x:c r="C31" s="45" t="str">
        <x:v>UV013</x:v>
      </x:c>
      <x:c r="D31" s="45" t="str">
        <x:v>XPeng</x:v>
      </x:c>
      <x:c r="E31" s="45" t="str">
        <x:v>XPeng Inc. / 로봇사업 법인 별도</x:v>
      </x:c>
      <x:c r="F31" s="45" t="str">
        <x:v>중국</x:v>
      </x:c>
      <x:c r="G31" s="45" t="str">
        <x:v>완성체
모델·데이터·시뮬레이션</x:v>
      </x:c>
      <x:c r="H31" s="45" t="str">
        <x:v>상장</x:v>
      </x:c>
      <x:c r="I31" s="46" t="str">
        <x:v>XPEV / 9868</x:v>
      </x:c>
      <x:c r="J31" s="45" t="str">
        <x:v>NYSE / HKEX</x:v>
      </x:c>
      <x:c r="K31" s="45" t="str">
        <x:v>자체 개발</x:v>
      </x:c>
      <x:c r="L31" s="45" t="str">
        <x:v>IRON·자동차 AI와 로봇 사업 연결</x:v>
      </x:c>
      <x:c r="M31" s="45" t="str">
        <x:v>상장 투자대상은 XPeng Inc.이며 로봇 법인의 독립 상장을 뜻하지 않음. ADS 1주=Class A 보통주 2주. 모회사 연결 매출을 로봇 매출로 분류하지 않음. 로봇 자회사 소유권·거래 종결·희석은 별도 확인.</x:v>
      </x:c>
      <x:c r="N31" s="49" t="n">
        <x:v>46282</x:v>
      </x:c>
      <x:c r="O31" s="45" t="str">
        <x:v>https://ir.xiaopeng.com/news-releases/news-release-details/xpeng-reports-second-quarter-2026-unaudited-financial-results
https://www.xpeng.com/</x:v>
      </x:c>
      <x:c r="P31" s="45" t="str">
        <x:v>조사 관련성 높음~85%; 사업 성공·투자 수익 확률 아님</x:v>
      </x:c>
    </x:row>
    <x:row r="32" ht="36" hidden="0" customHeight="1">
      <x:c r="A32" s="2"/>
      <x:c r="B32" s="2"/>
      <x:c r="C32" s="45" t="str">
        <x:v>UV018</x:v>
      </x:c>
      <x:c r="D32" s="45" t="str">
        <x:v>Beijing Humanoid Innovation Center</x:v>
      </x:c>
      <x:c r="E32" s="45" t="str">
        <x:v>北京人形机器人创新中心有限公司</x:v>
      </x:c>
      <x:c r="F32" s="45" t="str">
        <x:v>중국</x:v>
      </x:c>
      <x:c r="G32" s="45" t="str">
        <x:v>완성체
모델·데이터·시뮬레이션
제조·통합·정비</x:v>
      </x:c>
      <x:c r="H32" s="45" t="str">
        <x:v>미검증</x:v>
      </x:c>
      <x:c r="I32" s="46" t="str">
        <x:v>미확인·해당 없음</x:v>
      </x:c>
      <x:c r="J32" s="45" t="str">
        <x:v>미확인·해당 없음</x:v>
      </x:c>
      <x:c r="K32" s="45" t="str">
        <x:v>자체 개발·시험 인프라</x:v>
      </x:c>
      <x:c r="L32" s="45" t="str">
        <x:v>Tiangong·Tianyi·모델·데이터·중간검증 플랫폼</x:v>
      </x:c>
      <x:c r="M32" s="45" t="str">
        <x:v>기관 겸 기업; 경기 성과와 산업 작업을 구분</x:v>
      </x:c>
      <x:c r="N32" s="49" t="str"/>
      <x:c r="O32" s="45" t="str">
        <x:v>https://www.x-humanoid.com/</x:v>
      </x:c>
      <x:c r="P32" s="45" t="str">
        <x:v>조사 관련성 높음~85%; 사업 성공·투자 수익 확률 아님</x:v>
      </x:c>
    </x:row>
    <x:row r="33" ht="24" hidden="0" customHeight="1">
      <x:c r="A33" s="2"/>
      <x:c r="B33" s="2"/>
      <x:c r="C33" s="45" t="str">
        <x:v>UV016</x:v>
      </x:c>
      <x:c r="D33" s="45" t="str">
        <x:v>Astribot</x:v>
      </x:c>
      <x:c r="E33" s="45" t="str">
        <x:v>星尘智能（深圳）人工智能科技股份有限公司</x:v>
      </x:c>
      <x:c r="F33" s="45" t="str">
        <x:v>중국</x:v>
      </x:c>
      <x:c r="G33" s="45" t="str">
        <x:v>완성체
모델·데이터·시뮬레이션</x:v>
      </x:c>
      <x:c r="H33" s="45" t="str">
        <x:v>미검증</x:v>
      </x:c>
      <x:c r="I33" s="46" t="str">
        <x:v>미확인·해당 없음</x:v>
      </x:c>
      <x:c r="J33" s="45" t="str">
        <x:v>미확인·해당 없음</x:v>
      </x:c>
      <x:c r="K33" s="45" t="str">
        <x:v>자체 개발</x:v>
      </x:c>
      <x:c r="L33" s="45" t="str">
        <x:v>S1 및 조작 중심 하드웨어·AI 통합</x:v>
      </x:c>
      <x:c r="M33" s="45" t="str">
        <x:v>서비스 시연과 유상 운영 구분</x:v>
      </x:c>
      <x:c r="N33" s="49" t="str"/>
      <x:c r="O33" s="45" t="str">
        <x:v>https://www.astribot.com/</x:v>
      </x:c>
      <x:c r="P33" s="45" t="str">
        <x:v>조사 관련성 높음~85%; 사업 성공·투자 수익 확률 아님</x:v>
      </x:c>
    </x:row>
    <x:row r="34" ht="24" hidden="0" customHeight="1">
      <x:c r="A34" s="2"/>
      <x:c r="B34" s="2"/>
      <x:c r="C34" s="45" t="str">
        <x:v>UV085</x:v>
      </x:c>
      <x:c r="D34" s="45" t="str">
        <x:v>ABB</x:v>
      </x:c>
      <x:c r="E34" s="45" t="str">
        <x:v>ABB Ltd</x:v>
      </x:c>
      <x:c r="F34" s="45" t="str">
        <x:v>스위스</x:v>
      </x:c>
      <x:c r="G34" s="45" t="str">
        <x:v>대체 자동화
제조·통합·정비</x:v>
      </x:c>
      <x:c r="H34" s="45" t="str">
        <x:v>상장; Robotics 매각 계약, 종결 재확인 필요</x:v>
      </x:c>
      <x:c r="I34" s="46" t="str">
        <x:v>ABBN / ABB</x:v>
      </x:c>
      <x:c r="J34" s="45" t="str">
        <x:v>SIX / NASDAQ Stockholm</x:v>
      </x:c>
      <x:c r="K34" s="45" t="str">
        <x:v>기존 자동화·소유권 변경 계약</x:v>
      </x:c>
      <x:c r="L34" s="45" t="str">
        <x:v>산업용·협동로봇·SoftBank 매각계약 비교</x:v>
      </x:c>
      <x:c r="M34" s="45" t="str">
        <x:v>거래 종결 전후 상장 ABB의 로봇 노출이 달라짐</x:v>
      </x:c>
      <x:c r="N34" s="49" t="n">
        <x:v>46281</x:v>
      </x:c>
      <x:c r="O34" s="45" t="str">
        <x:v>https://new.abb.com/news/detail/129685/abb-to-divest-robotics-division-to-softbank-group</x:v>
      </x:c>
      <x:c r="P34" s="45" t="str">
        <x:v>조사 관련성 높음~85%; 사업 성공·투자 수익 확률 아님</x:v>
      </x:c>
    </x:row>
    <x:row r="35" ht="96" hidden="0" customHeight="1">
      <x:c r="A35" s="2"/>
      <x:c r="B35" s="2"/>
      <x:c r="C35" s="45" t="str">
        <x:v>UV098</x:v>
      </x:c>
      <x:c r="D35" s="45" t="str">
        <x:v>두산로보틱스</x:v>
      </x:c>
      <x:c r="E35" s="45" t="str">
        <x:v>Doosan Robotics Inc.</x:v>
      </x:c>
      <x:c r="F35" s="45" t="str">
        <x:v>한국</x:v>
      </x:c>
      <x:c r="G35" s="45" t="str">
        <x:v>대체 자동화
제조·통합·정비</x:v>
      </x:c>
      <x:c r="H35" s="45" t="str">
        <x:v>상장; 종목식별 Google Finance 교차확인</x:v>
      </x:c>
      <x:c r="I35" s="47" t="str">
        <x:v>454910</x:v>
      </x:c>
      <x:c r="J35" s="45" t="str">
        <x:v>KRX KOSPI</x:v>
      </x:c>
      <x:c r="K35" s="45" t="str">
        <x:v>자체 개발 또는 공시·고객·연구 원문으로 관계 확인</x:v>
      </x:c>
      <x:c r="L35" s="45" t="str">
        <x:v>협동로봇·AI통합·산업자동화대안;휴머노이드기술개발은별도</x:v>
      </x:c>
      <x:c r="M35" s="45" t="str">
        <x:v>이족완성체양산사로집계하지않음;100이상솔루션은2027까지계획과기존도입분리</x:v>
      </x:c>
      <x:c r="N35" s="49" t="n">
        <x:v>46282</x:v>
      </x:c>
      <x:c r="O35" s="45" t="str">
        <x:v>https://www.doosanrobotics.com/en/about/promotion/news/doosan-robotics-strengthens-european-presence-expanded-frankfurt-branch
https://www.doosanrobotics.com/en/about/promotion/news/doosan-supply-large-scale-robot-solutions-kwangjin
https://www.doosanrobotics.com/en/about/promotion/news/kwangjin-achieves-near-zero-defects-with-doosan-cobots
https://www.doosanrobotics.com/en/about/promotion/news/doosan-robotics-ai-palletizing-solution-palletizhd-plus-automate-2026
https://www.doosanrobotics.com/en/investment/ir/irdata/
https://www.google.com/finance/quote/454910:KRX</x:v>
      </x:c>
      <x:c r="P35" s="45" t="str">
        <x:v>조사 포함 근거 높음~90%; 주식 수익 또는 세계 순위의 확률 아님</x:v>
      </x:c>
    </x:row>
    <x:row r="36" ht="24" hidden="0" customHeight="1">
      <x:c r="A36" s="2"/>
      <x:c r="B36" s="2"/>
      <x:c r="C36" s="45" t="str">
        <x:v>UV087</x:v>
      </x:c>
      <x:c r="D36" s="45" t="str">
        <x:v>FANUC</x:v>
      </x:c>
      <x:c r="E36" s="45" t="str">
        <x:v>FANUC Corporation</x:v>
      </x:c>
      <x:c r="F36" s="45" t="str">
        <x:v>일본</x:v>
      </x:c>
      <x:c r="G36" s="45" t="str">
        <x:v>대체 자동화
모터·서보·감속기·직선구동</x:v>
      </x:c>
      <x:c r="H36" s="45" t="str">
        <x:v>IR 확인; 최신 상장코드 원문 재확인 필요</x:v>
      </x:c>
      <x:c r="I36" s="46" t="str">
        <x:v>미확인·해당 없음</x:v>
      </x:c>
      <x:c r="J36" s="45" t="str">
        <x:v>미확인·해당 없음</x:v>
      </x:c>
      <x:c r="K36" s="45" t="str">
        <x:v>기존 자동화·신규 AI 도구 확인</x:v>
      </x:c>
      <x:c r="L36" s="45" t="str">
        <x:v>산업용·협동로봇·ROBOGUIDE·Physical AI</x:v>
      </x:c>
      <x:c r="M36" s="45" t="str">
        <x:v>기존 로봇도 AI를 도입하므로 고정 성능의 대안으로 두지 않음</x:v>
      </x:c>
      <x:c r="N36" s="49" t="n">
        <x:v>46281</x:v>
      </x:c>
      <x:c r="O36" s="45" t="str">
        <x:v>https://www.fanuc.co.jp/en/product/robot/
https://www.fanuc.co.jp/en/ir/</x:v>
      </x:c>
      <x:c r="P36" s="45" t="str">
        <x:v>조사 관련성 높음~85%; 사업 성공·투자 수익 확률 아님</x:v>
      </x:c>
    </x:row>
    <x:row r="37" ht="15" hidden="0" customHeight="1">
      <x:c r="A37" s="2"/>
      <x:c r="B37" s="2"/>
      <x:c r="C37" s="45" t="str">
        <x:v>UV090</x:v>
      </x:c>
      <x:c r="D37" s="45" t="str">
        <x:v>Kawasaki Heavy Industries</x:v>
      </x:c>
      <x:c r="E37" s="45" t="str">
        <x:v>Kawasaki Heavy Industries, Ltd.</x:v>
      </x:c>
      <x:c r="F37" s="45" t="str">
        <x:v>일본</x:v>
      </x:c>
      <x:c r="G37" s="45" t="str">
        <x:v>대체 자동화</x:v>
      </x:c>
      <x:c r="H37" s="45" t="str">
        <x:v>미검증</x:v>
      </x:c>
      <x:c r="I37" s="46" t="str">
        <x:v>미확인·해당 없음</x:v>
      </x:c>
      <x:c r="J37" s="45" t="str">
        <x:v>미확인·해당 없음</x:v>
      </x:c>
      <x:c r="K37" s="45" t="str">
        <x:v>기존 자동화 제품 확인</x:v>
      </x:c>
      <x:c r="L37" s="45" t="str">
        <x:v>Kawasaki Robotics 산업용 로봇</x:v>
      </x:c>
      <x:c r="M37" s="45" t="str">
        <x:v>사족 모빌리티를 이족 작업 휴머노이드로 계산하지 않음</x:v>
      </x:c>
      <x:c r="N37" s="49" t="str"/>
      <x:c r="O37" s="45" t="str">
        <x:v>https://kawasakirobotics.com/uk/</x:v>
      </x:c>
      <x:c r="P37" s="45" t="str">
        <x:v>조사 관련성 높음~85%; 사업 성공·투자 수익 확률 아님</x:v>
      </x:c>
    </x:row>
    <x:row r="38" ht="24" hidden="0" customHeight="1">
      <x:c r="A38" s="2"/>
      <x:c r="B38" s="2"/>
      <x:c r="C38" s="45" t="str">
        <x:v>UV089</x:v>
      </x:c>
      <x:c r="D38" s="45" t="str">
        <x:v>KUKA</x:v>
      </x:c>
      <x:c r="E38" s="45" t="str">
        <x:v>KUKA AG</x:v>
      </x:c>
      <x:c r="F38" s="45" t="str">
        <x:v>독일·중국계</x:v>
      </x:c>
      <x:c r="G38" s="45" t="str">
        <x:v>대체 자동화
제조·통합·정비</x:v>
      </x:c>
      <x:c r="H38" s="45" t="str">
        <x:v>미검증</x:v>
      </x:c>
      <x:c r="I38" s="46" t="str">
        <x:v>미확인·해당 없음</x:v>
      </x:c>
      <x:c r="J38" s="45" t="str">
        <x:v>미확인·해당 없음</x:v>
      </x:c>
      <x:c r="K38" s="45" t="str">
        <x:v>기존 자동화 제품 확인</x:v>
      </x:c>
      <x:c r="L38" s="45" t="str">
        <x:v>산업용 로봇·공정별 자동화</x:v>
      </x:c>
      <x:c r="M38" s="45" t="str">
        <x:v>모회사 Midea 투자 노출은 별도 공시 검증 필요</x:v>
      </x:c>
      <x:c r="N38" s="49" t="str"/>
      <x:c r="O38" s="45" t="str">
        <x:v>https://www.kuka.com/en-us/products/robotics-systems/industrial-robots</x:v>
      </x:c>
      <x:c r="P38" s="45" t="str">
        <x:v>조사 관련성 높음~85%; 사업 성공·투자 수익 확률 아님</x:v>
      </x:c>
    </x:row>
    <x:row r="39" ht="24" hidden="0" customHeight="1">
      <x:c r="A39" s="2"/>
      <x:c r="B39" s="2"/>
      <x:c r="C39" s="45" t="str">
        <x:v>UV091</x:v>
      </x:c>
      <x:c r="D39" s="45" t="str">
        <x:v>Omron</x:v>
      </x:c>
      <x:c r="E39" s="45" t="str">
        <x:v>OMRON Corporation</x:v>
      </x:c>
      <x:c r="F39" s="45" t="str">
        <x:v>일본</x:v>
      </x:c>
      <x:c r="G39" s="45" t="str">
        <x:v>대체 자동화
비전·힘·위치·안전센서</x:v>
      </x:c>
      <x:c r="H39" s="45" t="str">
        <x:v>미검증</x:v>
      </x:c>
      <x:c r="I39" s="46" t="str">
        <x:v>미확인·해당 없음</x:v>
      </x:c>
      <x:c r="J39" s="45" t="str">
        <x:v>미확인·해당 없음</x:v>
      </x:c>
      <x:c r="K39" s="45" t="str">
        <x:v>기존 자동화 제품 확인</x:v>
      </x:c>
      <x:c r="L39" s="45" t="str">
        <x:v>협동·산업·자율이동로봇</x:v>
      </x:c>
      <x:c r="M39" s="45" t="str">
        <x:v>산업 자동화 시장과 휴머노이드 시장 구분</x:v>
      </x:c>
      <x:c r="N39" s="49" t="str"/>
      <x:c r="O39" s="45" t="str">
        <x:v>https://robotics.omron.com/</x:v>
      </x:c>
      <x:c r="P39" s="45" t="str">
        <x:v>조사 관련성 높음~85%; 사업 성공·투자 수익 확률 아님</x:v>
      </x:c>
    </x:row>
    <x:row r="40" ht="24" hidden="0" customHeight="1">
      <x:c r="A40" s="2"/>
      <x:c r="B40" s="2"/>
      <x:c r="C40" s="45" t="str">
        <x:v>UV025</x:v>
      </x:c>
      <x:c r="D40" s="45" t="str">
        <x:v>PUDU Robotics</x:v>
      </x:c>
      <x:c r="E40" s="45" t="str">
        <x:v>PUDU Robotics</x:v>
      </x:c>
      <x:c r="F40" s="45" t="str">
        <x:v>중국</x:v>
      </x:c>
      <x:c r="G40" s="45" t="str">
        <x:v>대체 자동화
완성체</x:v>
      </x:c>
      <x:c r="H40" s="45" t="str">
        <x:v>미검증</x:v>
      </x:c>
      <x:c r="I40" s="46" t="str">
        <x:v>미확인·해당 없음</x:v>
      </x:c>
      <x:c r="J40" s="45" t="str">
        <x:v>미확인·해당 없음</x:v>
      </x:c>
      <x:c r="K40" s="45" t="str">
        <x:v>자체 제품 개발</x:v>
      </x:c>
      <x:c r="L40" s="45" t="str">
        <x:v>체화 AI 제품군과 배달·청소 서비스 로봇 대안</x:v>
      </x:c>
      <x:c r="M40" s="45" t="str">
        <x:v>배달·청소 기존 사업과 휴머노이드 구분</x:v>
      </x:c>
      <x:c r="N40" s="49" t="str"/>
      <x:c r="O40" s="45" t="str">
        <x:v>https://www.pudurobotics.com/en/products?tab=xlab
https://www.pudurobotics.com/</x:v>
      </x:c>
      <x:c r="P40" s="45" t="str">
        <x:v>조사 관련성 높음~85%; 사업 성공·투자 수익 확률 아님</x:v>
      </x:c>
    </x:row>
    <x:row r="41" ht="15" hidden="0" customHeight="1">
      <x:c r="A41" s="2"/>
      <x:c r="B41" s="2"/>
      <x:c r="C41" s="45" t="str">
        <x:v>UV086</x:v>
      </x:c>
      <x:c r="D41" s="45" t="str">
        <x:v>Teradyne</x:v>
      </x:c>
      <x:c r="E41" s="45" t="str">
        <x:v>Teradyne, Inc.</x:v>
      </x:c>
      <x:c r="F41" s="45" t="str">
        <x:v>미국</x:v>
      </x:c>
      <x:c r="G41" s="45" t="str">
        <x:v>대체 자동화</x:v>
      </x:c>
      <x:c r="H41" s="45" t="str">
        <x:v>상장</x:v>
      </x:c>
      <x:c r="I41" s="46" t="str">
        <x:v>TER</x:v>
      </x:c>
      <x:c r="J41" s="45" t="str">
        <x:v>NASDAQ</x:v>
      </x:c>
      <x:c r="K41" s="45" t="str">
        <x:v>기존 자동화 사업 확인</x:v>
      </x:c>
      <x:c r="L41" s="45" t="str">
        <x:v>Universal Robots·MiR 협동·모바일 로봇</x:v>
      </x:c>
      <x:c r="M41" s="45" t="str">
        <x:v>UR·MiR는 별도 상장종목으로 집계하지 않음</x:v>
      </x:c>
      <x:c r="N41" s="49" t="n">
        <x:v>46281</x:v>
      </x:c>
      <x:c r="O41" s="45" t="str">
        <x:v>https://investors.teradyne.com/company-information</x:v>
      </x:c>
      <x:c r="P41" s="45" t="str">
        <x:v>조사 관련성 높음~85%; 사업 성공·투자 수익 확률 아님</x:v>
      </x:c>
    </x:row>
    <x:row r="42" ht="24" hidden="0" customHeight="1">
      <x:c r="A42" s="2"/>
      <x:c r="B42" s="2"/>
      <x:c r="C42" s="45" t="str">
        <x:v>UV088</x:v>
      </x:c>
      <x:c r="D42" s="45" t="str">
        <x:v>Yaskawa</x:v>
      </x:c>
      <x:c r="E42" s="45" t="str">
        <x:v>Yaskawa Electric Corporation</x:v>
      </x:c>
      <x:c r="F42" s="45" t="str">
        <x:v>일본</x:v>
      </x:c>
      <x:c r="G42" s="45" t="str">
        <x:v>대체 자동화
모터·서보·감속기·직선구동</x:v>
      </x:c>
      <x:c r="H42" s="45" t="str">
        <x:v>미검증</x:v>
      </x:c>
      <x:c r="I42" s="46" t="str">
        <x:v>미확인·해당 없음</x:v>
      </x:c>
      <x:c r="J42" s="45" t="str">
        <x:v>미확인·해당 없음</x:v>
      </x:c>
      <x:c r="K42" s="45" t="str">
        <x:v>기존 자동화 사업 확인</x:v>
      </x:c>
      <x:c r="L42" s="45" t="str">
        <x:v>MOTOMAN·서보·공정 통합</x:v>
      </x:c>
      <x:c r="M42" s="45" t="str">
        <x:v>일반 산업용 로봇 누적출하와 휴머노이드 구분</x:v>
      </x:c>
      <x:c r="N42" s="49" t="str"/>
      <x:c r="O42" s="45" t="str">
        <x:v>https://www.yaskawa-global.com/product/robotics</x:v>
      </x:c>
      <x:c r="P42" s="45" t="str">
        <x:v>조사 관련성 높음~85%; 사업 성공·투자 수익 확률 아님</x:v>
      </x:c>
    </x:row>
    <x:row r="43" ht="24" hidden="0" customHeight="1">
      <x:c r="A43" s="2"/>
      <x:c r="B43" s="2"/>
      <x:c r="C43" s="45" t="str">
        <x:v>UV039</x:v>
      </x:c>
      <x:c r="D43" s="45" t="str">
        <x:v>SKF</x:v>
      </x:c>
      <x:c r="E43" s="45" t="str">
        <x:v>AB SKF</x:v>
      </x:c>
      <x:c r="F43" s="45" t="str">
        <x:v>스웨덴</x:v>
      </x:c>
      <x:c r="G43" s="45" t="str">
        <x:v>모터·서보·감속기·직선구동</x:v>
      </x:c>
      <x:c r="H43" s="45" t="str">
        <x:v>미검증</x:v>
      </x:c>
      <x:c r="I43" s="46" t="str">
        <x:v>미확인·해당 없음</x:v>
      </x:c>
      <x:c r="J43" s="45" t="str">
        <x:v>미확인·해당 없음</x:v>
      </x:c>
      <x:c r="K43" s="45" t="str">
        <x:v>JV 계약 발표 확인</x:v>
      </x:c>
      <x:c r="L43" s="45" t="str">
        <x:v>Leaderdrive와 휴머노이드 관절 정밀전달부품 합작</x:v>
      </x:c>
      <x:c r="M43" s="45" t="str">
        <x:v>합작 발표와 실제 생산 시작을 구분</x:v>
      </x:c>
      <x:c r="N43" s="49" t="str"/>
      <x:c r="O43" s="45" t="str">
        <x:v>https://www.skf.com/group/news-and-events/news/2026/2026-Jul-02-skf-and-leaderdrive-form-a-venture-for-precision-components-in-humanoids</x:v>
      </x:c>
      <x:c r="P43" s="45" t="str">
        <x:v>조사 관련성 높음~85%; 사업 성공·투자 수익 확률 아님</x:v>
      </x:c>
    </x:row>
    <x:row r="44" ht="24" hidden="0" customHeight="1">
      <x:c r="A44" s="2"/>
      <x:c r="B44" s="2"/>
      <x:c r="C44" s="45" t="str">
        <x:v>UV028</x:v>
      </x:c>
      <x:c r="D44" s="45" t="str">
        <x:v>Harmonic Drive Systems</x:v>
      </x:c>
      <x:c r="E44" s="45" t="str">
        <x:v>Harmonic Drive Systems Inc.</x:v>
      </x:c>
      <x:c r="F44" s="45" t="str">
        <x:v>일본</x:v>
      </x:c>
      <x:c r="G44" s="45" t="str">
        <x:v>모터·서보·감속기·직선구동</x:v>
      </x:c>
      <x:c r="H44" s="45" t="str">
        <x:v>상장</x:v>
      </x:c>
      <x:c r="I44" s="48" t="str">
        <x:v>6324</x:v>
      </x:c>
      <x:c r="J44" s="45" t="str">
        <x:v>도쿄 Prime</x:v>
      </x:c>
      <x:c r="K44" s="45" t="str">
        <x:v>제품·과거 적용 확인</x:v>
      </x:c>
      <x:c r="L44" s="45" t="str">
        <x:v>파동감속기·휴머노이드 전용 관절 액추에이터 참고출품</x:v>
      </x:c>
      <x:c r="M44" s="45" t="str">
        <x:v>특정 최신 OEM 공급량 미확인</x:v>
      </x:c>
      <x:c r="N44" s="49" t="n">
        <x:v>46281</x:v>
      </x:c>
      <x:c r="O44" s="45" t="str">
        <x:v>https://www.hds.co.jp/products/news/exhibition/?TabModule1211=0&amp;dispmid=1492&amp;itemid=493
https://www.hds.co.jp/english/ir/stock/information/</x:v>
      </x:c>
      <x:c r="P44" s="45" t="str">
        <x:v>조사 관련성 높음~85%; 사업 성공·투자 수익 확률 아님</x:v>
      </x:c>
    </x:row>
    <x:row r="45" ht="24" hidden="0" customHeight="1">
      <x:c r="A45" s="2"/>
      <x:c r="B45" s="2"/>
      <x:c r="C45" s="45" t="str">
        <x:v>UV031</x:v>
      </x:c>
      <x:c r="D45" s="45" t="str">
        <x:v>HIWIN Technologies</x:v>
      </x:c>
      <x:c r="E45" s="45" t="str">
        <x:v>HIWIN Technologies Corp.</x:v>
      </x:c>
      <x:c r="F45" s="45" t="str">
        <x:v>대만</x:v>
      </x:c>
      <x:c r="G45" s="45" t="str">
        <x:v>모터·서보·감속기·직선구동</x:v>
      </x:c>
      <x:c r="H45" s="45" t="str">
        <x:v>상장</x:v>
      </x:c>
      <x:c r="I45" s="48" t="str">
        <x:v>2049</x:v>
      </x:c>
      <x:c r="J45" s="45" t="str">
        <x:v>TWSE</x:v>
      </x:c>
      <x:c r="K45" s="45" t="str">
        <x:v>제품 확인·채택 미확인</x:v>
      </x:c>
      <x:c r="L45" s="45" t="str">
        <x:v>볼스크루·직선가이드·정밀 구동 부품</x:v>
      </x:c>
      <x:c r="M45" s="45" t="str">
        <x:v>HIWIN Mikrosystem 별도 법인과 혼동 금지</x:v>
      </x:c>
      <x:c r="N45" s="49" t="n">
        <x:v>46281</x:v>
      </x:c>
      <x:c r="O45" s="45" t="str">
        <x:v>https://www.hiwin.tw/
https://www.hiwin.tw/stock/stock_info.aspx</x:v>
      </x:c>
      <x:c r="P45" s="45" t="str">
        <x:v>조사 관련성 중간~70%; 사업 성공·투자 수익 확률 아님</x:v>
      </x:c>
    </x:row>
    <x:row r="46" ht="48" hidden="0" customHeight="1">
      <x:c r="A46" s="2"/>
      <x:c r="B46" s="2"/>
      <x:c r="C46" s="45" t="str">
        <x:v>UV099</x:v>
      </x:c>
      <x:c r="D46" s="45" t="str">
        <x:v>Hyundai Mobis</x:v>
      </x:c>
      <x:c r="E46" s="45" t="str">
        <x:v>Hyundai Mobis Co., Ltd.</x:v>
      </x:c>
      <x:c r="F46" s="45" t="str">
        <x:v>한국</x:v>
      </x:c>
      <x:c r="G46" s="45" t="str">
        <x:v>모터·서보·감속기·직선구동</x:v>
      </x:c>
      <x:c r="H46" s="45" t="str">
        <x:v>상장</x:v>
      </x:c>
      <x:c r="I46" s="47" t="str">
        <x:v>012330</x:v>
      </x:c>
      <x:c r="J46" s="45" t="str">
        <x:v>KRX KOSPI</x:v>
      </x:c>
      <x:c r="K46" s="45" t="str">
        <x:v>공식 개발·공급 협약</x:v>
      </x:c>
      <x:c r="L46" s="45" t="str">
        <x:v>Atlas 액추에이터 고객 명시 협약; 양산량 미공개</x:v>
      </x:c>
      <x:c r="M46" s="45" t="str">
        <x:v>현대자동차그룹 부품회사; 자동차기존사업과로봇사업분리</x:v>
      </x:c>
      <x:c r="N46" s="49" t="n">
        <x:v>46282</x:v>
      </x:c>
      <x:c r="O46" s="45" t="str">
        <x:v>https://www.prnewswire.com/news-releases/hyundai-mobis-forms-strategic-collaboration-framework-with-boston-dynamics-302656040.html
https://bostondynamics.com/news/
https://www.google.com/finance/quote/012330:KRX</x:v>
      </x:c>
      <x:c r="P46" s="45" t="str">
        <x:v>높음~85%; 조사 관련성의 주관적 판단이며 투자수익 확률 아님</x:v>
      </x:c>
    </x:row>
    <x:row r="47" ht="24" hidden="0" customHeight="1">
      <x:c r="A47" s="2"/>
      <x:c r="B47" s="2"/>
      <x:c r="C47" s="45" t="str">
        <x:v>UV034</x:v>
      </x:c>
      <x:c r="D47" s="45" t="str">
        <x:v>Leadshine</x:v>
      </x:c>
      <x:c r="E47" s="45" t="str">
        <x:v>Leadshine Technology Co., Ltd.</x:v>
      </x:c>
      <x:c r="F47" s="45" t="str">
        <x:v>중국</x:v>
      </x:c>
      <x:c r="G47" s="45" t="str">
        <x:v>모터·서보·감속기·직선구동
손·촉각</x:v>
      </x:c>
      <x:c r="H47" s="45" t="str">
        <x:v>미검증</x:v>
      </x:c>
      <x:c r="I47" s="46" t="str">
        <x:v>미확인·해당 없음</x:v>
      </x:c>
      <x:c r="J47" s="45" t="str">
        <x:v>미확인·해당 없음</x:v>
      </x:c>
      <x:c r="K47" s="45" t="str">
        <x:v>제품군 확인</x:v>
      </x:c>
      <x:c r="L47" s="45" t="str">
        <x:v>무프레임모터·HJ/PJ 관절·DH 손 및 통신 제어</x:v>
      </x:c>
      <x:c r="M47" s="45" t="str">
        <x:v>제품 존재가 Tesla 등 OEM 공급 증거는 아님</x:v>
      </x:c>
      <x:c r="N47" s="49" t="str"/>
      <x:c r="O47" s="45" t="str">
        <x:v>https://www.leadshine.com/</x:v>
      </x:c>
      <x:c r="P47" s="45" t="str">
        <x:v>조사 관련성 높음~85%; 사업 성공·투자 수익 확률 아님</x:v>
      </x:c>
    </x:row>
    <x:row r="48" ht="15" hidden="0" customHeight="1">
      <x:c r="A48" s="2"/>
      <x:c r="B48" s="2"/>
      <x:c r="C48" s="45" t="str">
        <x:v>UV040</x:v>
      </x:c>
      <x:c r="D48" s="45" t="str">
        <x:v>maxon</x:v>
      </x:c>
      <x:c r="E48" s="45" t="str">
        <x:v>maxon Group</x:v>
      </x:c>
      <x:c r="F48" s="45" t="str">
        <x:v>스위스</x:v>
      </x:c>
      <x:c r="G48" s="45" t="str">
        <x:v>모터·서보·감속기·직선구동</x:v>
      </x:c>
      <x:c r="H48" s="45" t="str">
        <x:v>미검증</x:v>
      </x:c>
      <x:c r="I48" s="46" t="str">
        <x:v>미확인·해당 없음</x:v>
      </x:c>
      <x:c r="J48" s="45" t="str">
        <x:v>미확인·해당 없음</x:v>
      </x:c>
      <x:c r="K48" s="45" t="str">
        <x:v>적용 회사 설명 확인</x:v>
      </x:c>
      <x:c r="L48" s="45" t="str">
        <x:v>휴머노이드·로봇 손용 정밀 소형 모터</x:v>
      </x:c>
      <x:c r="M48" s="45" t="str">
        <x:v>연구용 적용과 산업용 대량수주 구분</x:v>
      </x:c>
      <x:c r="N48" s="49" t="str"/>
      <x:c r="O48" s="45" t="str">
        <x:v>https://www.maxongroup.com/en</x:v>
      </x:c>
      <x:c r="P48" s="45" t="str">
        <x:v>조사 관련성 높음~85%; 사업 성공·투자 수익 확률 아님</x:v>
      </x:c>
    </x:row>
    <x:row r="49" ht="24" hidden="0" customHeight="1">
      <x:c r="A49" s="2"/>
      <x:c r="B49" s="2"/>
      <x:c r="C49" s="45" t="str">
        <x:v>UV029</x:v>
      </x:c>
      <x:c r="D49" s="45" t="str">
        <x:v>Nabtesco</x:v>
      </x:c>
      <x:c r="E49" s="45" t="str">
        <x:v>Nabtesco Corporation</x:v>
      </x:c>
      <x:c r="F49" s="45" t="str">
        <x:v>일본</x:v>
      </x:c>
      <x:c r="G49" s="45" t="str">
        <x:v>모터·서보·감속기·직선구동</x:v>
      </x:c>
      <x:c r="H49" s="45" t="str">
        <x:v>상장</x:v>
      </x:c>
      <x:c r="I49" s="48" t="str">
        <x:v>6268</x:v>
      </x:c>
      <x:c r="J49" s="45" t="str">
        <x:v>도쿄</x:v>
      </x:c>
      <x:c r="K49" s="45" t="str">
        <x:v>기술 인접·대체 구동 비교</x:v>
      </x:c>
      <x:c r="L49" s="45" t="str">
        <x:v>정밀 감속기·산업용 로봇 전달부품</x:v>
      </x:c>
      <x:c r="M49" s="45" t="str">
        <x:v>휴머노이드 대량 수주 확정으로 해석 금지</x:v>
      </x:c>
      <x:c r="N49" s="49" t="n">
        <x:v>46281</x:v>
      </x:c>
      <x:c r="O49" s="45" t="str">
        <x:v>https://precision.nabtesco.com/en/
https://www.nabtesco.com/en/about/ir/stock/stock-information/</x:v>
      </x:c>
      <x:c r="P49" s="45" t="str">
        <x:v>조사 관련성 중간~70%; 사업 성공·투자 수익 확률 아님</x:v>
      </x:c>
    </x:row>
    <x:row r="50" ht="24" hidden="0" customHeight="1">
      <x:c r="A50" s="2"/>
      <x:c r="B50" s="2"/>
      <x:c r="C50" s="45" t="str">
        <x:v>UV038</x:v>
      </x:c>
      <x:c r="D50" s="45" t="str">
        <x:v>Tuopu</x:v>
      </x:c>
      <x:c r="E50" s="45" t="str">
        <x:v>Ningbo Tuopu Group Co., Ltd.</x:v>
      </x:c>
      <x:c r="F50" s="45" t="str">
        <x:v>중국</x:v>
      </x:c>
      <x:c r="G50" s="45" t="str">
        <x:v>모터·서보·감속기·직선구동
컴퓨팅·전력·배터리·열관리</x:v>
      </x:c>
      <x:c r="H50" s="45" t="str">
        <x:v>상장</x:v>
      </x:c>
      <x:c r="I50" s="47" t="str">
        <x:v>601689</x:v>
      </x:c>
      <x:c r="J50" s="45" t="str">
        <x:v>상하이</x:v>
      </x:c>
      <x:c r="K50" s="45" t="str">
        <x:v>로봇 액추에이터 제품 확인</x:v>
      </x:c>
      <x:c r="L50" s="45" t="str">
        <x:v>로봇 회전·직선 액추에이터 사업</x:v>
      </x:c>
      <x:c r="M50" s="45" t="str">
        <x:v>자동차 고객 명단을 로봇 고객 명단으로 전용하지 않음</x:v>
      </x:c>
      <x:c r="N50" s="49" t="n">
        <x:v>46282</x:v>
      </x:c>
      <x:c r="O50" s="45" t="str">
        <x:v>https://www.tuopu.com/en/product_category/robot-actuator/
https://www.tuopu.com/en/home/</x:v>
      </x:c>
      <x:c r="P50" s="45" t="str">
        <x:v>조사 관련성 높음~85%; 사업 성공·투자 수익 확률 아님</x:v>
      </x:c>
    </x:row>
    <x:row r="51" ht="72" hidden="0" customHeight="1">
      <x:c r="A51" s="2"/>
      <x:c r="B51" s="2"/>
      <x:c r="C51" s="45" t="str">
        <x:v>UV097</x:v>
      </x:c>
      <x:c r="D51" s="45" t="str">
        <x:v>ROBOTIS</x:v>
      </x:c>
      <x:c r="E51" s="45" t="str">
        <x:v>ROBOTIS Co., Ltd.</x:v>
      </x:c>
      <x:c r="F51" s="45" t="str">
        <x:v>한국</x:v>
      </x:c>
      <x:c r="G51" s="45" t="str">
        <x:v>모터·서보·감속기·직선구동
완성체
손·촉각</x:v>
      </x:c>
      <x:c r="H51" s="45" t="str">
        <x:v>상장; 종목식별 Google Finance 교차확인</x:v>
      </x:c>
      <x:c r="I51" s="47" t="str">
        <x:v>108490</x:v>
      </x:c>
      <x:c r="J51" s="45" t="str">
        <x:v>KRX KOSDAQ</x:v>
      </x:c>
      <x:c r="K51" s="45" t="str">
        <x:v>자체 개발 또는 공시·고객·연구 원문으로 관계 확인</x:v>
      </x:c>
      <x:c r="L51" s="45" t="str">
        <x:v>DYNAMIXEL외부채택·AIWorker바퀴형양팔·AISapiens이족연구플랫폼</x:v>
      </x:c>
      <x:c r="M51" s="45" t="str">
        <x:v>Trossen부품채택확인;Google직접휴머노이드대규모공급계약미확인;완성체누적매출미공개</x:v>
      </x:c>
      <x:c r="N51" s="49" t="n">
        <x:v>46282</x:v>
      </x:c>
      <x:c r="O51" s="45" t="str">
        <x:v>https://docs.trossenrobotics.com/interbotix_xsarms_docs/specifications/vx300s.html
https://aloha-2.github.io/
https://www.robotis.com/en/product/ecosystem-aiworker.php
https://www.robotis.com/en/product/ecosystem-aisapiens.php
https://www.robotis.com/en/product/ecosystem-omy.php
https://www.google.com/finance/quote/108490:KOSDAQ</x:v>
      </x:c>
      <x:c r="P51" s="45" t="str">
        <x:v>조사 포함 근거 높음~90%; 주식 수익 또는 세계 순위의 확률 아님</x:v>
      </x:c>
    </x:row>
    <x:row r="52" ht="36" hidden="0" customHeight="1">
      <x:c r="A52" s="2"/>
      <x:c r="B52" s="2"/>
      <x:c r="C52" s="45" t="str">
        <x:v>UV027</x:v>
      </x:c>
      <x:c r="D52" s="45" t="str">
        <x:v>Schaeffler</x:v>
      </x:c>
      <x:c r="E52" s="45" t="str">
        <x:v>Schaeffler AG</x:v>
      </x:c>
      <x:c r="F52" s="45" t="str">
        <x:v>독일</x:v>
      </x:c>
      <x:c r="G52" s="45" t="str">
        <x:v>모터·서보·감속기·직선구동
컴퓨팅·전력·배터리·열관리
고객·사용자</x:v>
      </x:c>
      <x:c r="H52" s="45" t="str">
        <x:v>상장</x:v>
      </x:c>
      <x:c r="I52" s="46" t="str">
        <x:v>SHA0</x:v>
      </x:c>
      <x:c r="J52" s="45" t="str">
        <x:v>프랑크푸르트</x:v>
      </x:c>
      <x:c r="K52" s="45" t="str">
        <x:v>공급계약·도입계획 발표 확인</x:v>
      </x:c>
      <x:c r="L52" s="45" t="str">
        <x:v>회전·직선 구동·베어링·열관리와 자체 공장 고객</x:v>
      </x:c>
      <x:c r="M52" s="45" t="str">
        <x:v>Hexagon 공급협력은 확인; 개별 단가·마진 비공개</x:v>
      </x:c>
      <x:c r="N52" s="49" t="n">
        <x:v>46281</x:v>
      </x:c>
      <x:c r="O52" s="45" t="str">
        <x:v>https://www.schaeffler.com/en/investor-relations/events-publications/ir-releases/ir_releases_detail.jsp?id=88184988
https://www.schaeffler.com/en/investor-relations/share/basic-data/</x:v>
      </x:c>
      <x:c r="P52" s="45" t="str">
        <x:v>조사 관련성 높음~85%; 사업 성공·투자 수익 확률 아님</x:v>
      </x:c>
    </x:row>
    <x:row r="53" ht="15" hidden="0" customHeight="1">
      <x:c r="A53" s="2"/>
      <x:c r="B53" s="2"/>
      <x:c r="C53" s="45" t="str">
        <x:v>UV035</x:v>
      </x:c>
      <x:c r="D53" s="45" t="str">
        <x:v>MOONS'</x:v>
      </x:c>
      <x:c r="E53" s="45" t="str">
        <x:v>Shanghai MOONS' Electric Co., Ltd.</x:v>
      </x:c>
      <x:c r="F53" s="45" t="str">
        <x:v>중국</x:v>
      </x:c>
      <x:c r="G53" s="45" t="str">
        <x:v>모터·서보·감속기·직선구동</x:v>
      </x:c>
      <x:c r="H53" s="45" t="str">
        <x:v>미검증</x:v>
      </x:c>
      <x:c r="I53" s="46" t="str">
        <x:v>미확인·해당 없음</x:v>
      </x:c>
      <x:c r="J53" s="45" t="str">
        <x:v>미확인·해당 없음</x:v>
      </x:c>
      <x:c r="K53" s="45" t="str">
        <x:v>회사 응용제품 설명 확인</x:v>
      </x:c>
      <x:c r="L53" s="45" t="str">
        <x:v>휴머노이드용 슬롯리스·코어리스 모터</x:v>
      </x:c>
      <x:c r="M53" s="45" t="str">
        <x:v>소형 모터와 완성 액추에이터의 판매단위를 구분</x:v>
      </x:c>
      <x:c r="N53" s="49" t="str"/>
      <x:c r="O53" s="45" t="str">
        <x:v>https://www.moonsindustries.com/</x:v>
      </x:c>
      <x:c r="P53" s="45" t="str">
        <x:v>조사 관련성 높음~85%; 사업 성공·투자 수익 확률 아님</x:v>
      </x:c>
    </x:row>
    <x:row r="54" ht="24" hidden="0" customHeight="1">
      <x:c r="A54" s="2"/>
      <x:c r="B54" s="2"/>
      <x:c r="C54" s="45" t="str">
        <x:v>UV036</x:v>
      </x:c>
      <x:c r="D54" s="45" t="str">
        <x:v>ZHAOWEI</x:v>
      </x:c>
      <x:c r="E54" s="45" t="str">
        <x:v>Shenzhen ZHAOWEI Machinery &amp; Electronics Co., Ltd.</x:v>
      </x:c>
      <x:c r="F54" s="45" t="str">
        <x:v>중국</x:v>
      </x:c>
      <x:c r="G54" s="45" t="str">
        <x:v>모터·서보·감속기·직선구동
손·촉각</x:v>
      </x:c>
      <x:c r="H54" s="45" t="str">
        <x:v>미검증</x:v>
      </x:c>
      <x:c r="I54" s="46" t="str">
        <x:v>미확인·해당 없음</x:v>
      </x:c>
      <x:c r="J54" s="45" t="str">
        <x:v>미확인·해당 없음</x:v>
      </x:c>
      <x:c r="K54" s="45" t="str">
        <x:v>기술 인접·제품 확인</x:v>
      </x:c>
      <x:c r="L54" s="45" t="str">
        <x:v>마이크로 구동·모터·기어·제어 통합</x:v>
      </x:c>
      <x:c r="M54" s="45" t="str">
        <x:v>공식 일반 로봇용 제품 확인; 특정 휴머노이드 수주 미확인</x:v>
      </x:c>
      <x:c r="N54" s="49" t="str"/>
      <x:c r="O54" s="45" t="str">
        <x:v>https://www.zwgearbox.com/</x:v>
      </x:c>
      <x:c r="P54" s="45" t="str">
        <x:v>조사 관련성 중간~70%; 사업 성공·투자 수익 확률 아님</x:v>
      </x:c>
    </x:row>
    <x:row r="55" ht="24" hidden="0" customHeight="1">
      <x:c r="A55" s="2"/>
      <x:c r="B55" s="2"/>
      <x:c r="C55" s="45" t="str">
        <x:v>UV103</x:v>
      </x:c>
      <x:c r="D55" s="45" t="str">
        <x:v>SPG</x:v>
      </x:c>
      <x:c r="E55" s="45" t="str">
        <x:v>SPG Co., Ltd.</x:v>
      </x:c>
      <x:c r="F55" s="45" t="str">
        <x:v>한국</x:v>
      </x:c>
      <x:c r="G55" s="45" t="str">
        <x:v>모터·서보·감속기·직선구동</x:v>
      </x:c>
      <x:c r="H55" s="45" t="str">
        <x:v>상장</x:v>
      </x:c>
      <x:c r="I55" s="47" t="str">
        <x:v>058610</x:v>
      </x:c>
      <x:c r="J55" s="45" t="str">
        <x:v>KRX KOSDAQ</x:v>
      </x:c>
      <x:c r="K55" s="45" t="str">
        <x:v>제품 확인</x:v>
      </x:c>
      <x:c r="L55" s="45" t="str">
        <x:v>KSH/KSR감속기와SDD저감속비액추에이터</x:v>
      </x:c>
      <x:c r="M55" s="45" t="str">
        <x:v>글로벌휴머노이드OEM고객별양산계약은미확인;Tesla루머미채택</x:v>
      </x:c>
      <x:c r="N55" s="49" t="n">
        <x:v>46282</x:v>
      </x:c>
      <x:c r="O55" s="45" t="str">
        <x:v>https://www.spg.co.kr/
https://www.google.com/finance/quote/058610:KOSDAQ</x:v>
      </x:c>
      <x:c r="P55" s="45" t="str">
        <x:v>중간~65%; 조사 관련성의 주관적 판단이며 투자수익 확률 아님</x:v>
      </x:c>
    </x:row>
    <x:row r="56" ht="24" hidden="0" customHeight="1">
      <x:c r="A56" s="2"/>
      <x:c r="B56" s="2"/>
      <x:c r="C56" s="45" t="str">
        <x:v>UV030</x:v>
      </x:c>
      <x:c r="D56" s="45" t="str">
        <x:v>THK</x:v>
      </x:c>
      <x:c r="E56" s="45" t="str">
        <x:v>THK Co., Ltd.</x:v>
      </x:c>
      <x:c r="F56" s="45" t="str">
        <x:v>일본</x:v>
      </x:c>
      <x:c r="G56" s="45" t="str">
        <x:v>모터·서보·감속기·직선구동</x:v>
      </x:c>
      <x:c r="H56" s="45" t="str">
        <x:v>상장</x:v>
      </x:c>
      <x:c r="I56" s="48" t="str">
        <x:v>6481</x:v>
      </x:c>
      <x:c r="J56" s="45" t="str">
        <x:v>도쿄 Prime</x:v>
      </x:c>
      <x:c r="K56" s="45" t="str">
        <x:v>자체 연구·제품 확인</x:v>
      </x:c>
      <x:c r="L56" s="45" t="str">
        <x:v>직선운동 부품과 FRED 휴머노이드 연구</x:v>
      </x:c>
      <x:c r="M56" s="45" t="str">
        <x:v>자체 연구 기체와 외부 양산 납품 구분</x:v>
      </x:c>
      <x:c r="N56" s="49" t="n">
        <x:v>46281</x:v>
      </x:c>
      <x:c r="O56" s="45" t="str">
        <x:v>https://www.thk.com/jp/en/journal/products/article-02072025-1.html
https://www.thk.com/jp/wordpress/wp-content/uploads/2026/08/260805_financial_result_en.pdf</x:v>
      </x:c>
      <x:c r="P56" s="45" t="str">
        <x:v>조사 관련성 높음~85%; 사업 성공·투자 수익 확률 아님</x:v>
      </x:c>
    </x:row>
    <x:row r="57" ht="36" hidden="0" customHeight="1">
      <x:c r="A57" s="2"/>
      <x:c r="B57" s="2"/>
      <x:c r="C57" s="45" t="str">
        <x:v>UV037</x:v>
      </x:c>
      <x:c r="D57" s="45" t="str">
        <x:v>Sanhua</x:v>
      </x:c>
      <x:c r="E57" s="45" t="str">
        <x:v>浙江三花智能控制股份有限公司</x:v>
      </x:c>
      <x:c r="F57" s="45" t="str">
        <x:v>중국</x:v>
      </x:c>
      <x:c r="G57" s="45" t="str">
        <x:v>모터·서보·감속기·직선구동
컴퓨팅·전력·배터리·열관리</x:v>
      </x:c>
      <x:c r="H57" s="45" t="str">
        <x:v>상장</x:v>
      </x:c>
      <x:c r="I57" s="46" t="str">
        <x:v>002050 / 2050</x:v>
      </x:c>
      <x:c r="J57" s="45" t="str">
        <x:v>선전 / 홍콩</x:v>
      </x:c>
      <x:c r="K57" s="45" t="str">
        <x:v>관련 사업 심층공시 확인 필요</x:v>
      </x:c>
      <x:c r="L57" s="45" t="str">
        <x:v>정밀 제어·열관리·로봇 액추에이터 조사 후보</x:v>
      </x:c>
      <x:c r="M57" s="45" t="str">
        <x:v>상장은 2025 연차보고서 p6 확인; 열관리 본업과 로봇 후보를 구분. 이번 열람에서 로봇 공급·주문 근거 미확보.</x:v>
      </x:c>
      <x:c r="N57" s="49" t="n">
        <x:v>46282</x:v>
      </x:c>
      <x:c r="O57" s="45" t="str">
        <x:v>https://www.zjshc.com/
https://www.zjshc.com/investor/index.html
https://www.zjshc.com/upload/img/2026-04/69d60c4be3df7.pdf</x:v>
      </x:c>
      <x:c r="P57" s="45" t="str">
        <x:v>조사 관련성 중간~60%; 사업 성공·투자 수익 확률 아님</x:v>
      </x:c>
    </x:row>
    <x:row r="58" ht="24" hidden="0" customHeight="1">
      <x:c r="A58" s="2"/>
      <x:c r="B58" s="2"/>
      <x:c r="C58" s="45" t="str">
        <x:v>UV033</x:v>
      </x:c>
      <x:c r="D58" s="45" t="str">
        <x:v>Inovance</x:v>
      </x:c>
      <x:c r="E58" s="45" t="str">
        <x:v>深圳市汇川技术股份有限公司</x:v>
      </x:c>
      <x:c r="F58" s="45" t="str">
        <x:v>중국</x:v>
      </x:c>
      <x:c r="G58" s="45" t="str">
        <x:v>모터·서보·감속기·직선구동
대체 자동화</x:v>
      </x:c>
      <x:c r="H58" s="45" t="str">
        <x:v>미검증</x:v>
      </x:c>
      <x:c r="I58" s="46" t="str">
        <x:v>미확인·해당 없음</x:v>
      </x:c>
      <x:c r="J58" s="45" t="str">
        <x:v>미확인·해당 없음</x:v>
      </x:c>
      <x:c r="K58" s="45" t="str">
        <x:v>회사 제품군 확인</x:v>
      </x:c>
      <x:c r="L58" s="45" t="str">
        <x:v>휴머노이드 관절·무프레임모터·저전압서보·산업자동화</x:v>
      </x:c>
      <x:c r="M58" s="45" t="str">
        <x:v>공식 검색 설명 확인; 개별 OEM 고객 미확인</x:v>
      </x:c>
      <x:c r="N58" s="49" t="str"/>
      <x:c r="O58" s="45" t="str">
        <x:v>https://www.inovance.com/</x:v>
      </x:c>
      <x:c r="P58" s="45" t="str">
        <x:v>조사 관련성 높음~85%; 사업 성공·투자 수익 확률 아님</x:v>
      </x:c>
    </x:row>
    <x:row r="59" ht="24" hidden="0" customHeight="1">
      <x:c r="A59" s="2"/>
      <x:c r="B59" s="2"/>
      <x:c r="C59" s="45" t="str">
        <x:v>UV032</x:v>
      </x:c>
      <x:c r="D59" s="45" t="str">
        <x:v>Leaderdrive</x:v>
      </x:c>
      <x:c r="E59" s="45" t="str">
        <x:v>苏州绿的谐波传动科技股份有限公司</x:v>
      </x:c>
      <x:c r="F59" s="45" t="str">
        <x:v>중국</x:v>
      </x:c>
      <x:c r="G59" s="45" t="str">
        <x:v>모터·서보·감속기·직선구동</x:v>
      </x:c>
      <x:c r="H59" s="45" t="str">
        <x:v>미검증</x:v>
      </x:c>
      <x:c r="I59" s="46" t="str">
        <x:v>미확인·해당 없음</x:v>
      </x:c>
      <x:c r="J59" s="45" t="str">
        <x:v>미확인·해당 없음</x:v>
      </x:c>
      <x:c r="K59" s="45" t="str">
        <x:v>제품·JV 계약 발표 확인</x:v>
      </x:c>
      <x:c r="L59" s="45" t="str">
        <x:v>파동감속기·통합구동 및 SKF 정밀전달 JV</x:v>
      </x:c>
      <x:c r="M59" s="45" t="str">
        <x:v>JV 계획과 확정 OEM 공급을 분리</x:v>
      </x:c>
      <x:c r="N59" s="49" t="str"/>
      <x:c r="O59" s="45" t="str">
        <x:v>https://www.skf.com/group/news-and-events/news/2026/2026-Jul-02-skf-and-leaderdrive-form-a-venture-for-precision-components-in-humanoids</x:v>
      </x:c>
      <x:c r="P59" s="45" t="str">
        <x:v>조사 관련성 높음~85%; 사업 성공·투자 수익 확률 아님</x:v>
      </x:c>
    </x:row>
    <x:row r="60" ht="15" hidden="0" customHeight="1">
      <x:c r="A60" s="2"/>
      <x:c r="B60" s="2"/>
      <x:c r="C60" s="45" t="str">
        <x:v>UV045</x:v>
      </x:c>
      <x:c r="D60" s="45" t="str">
        <x:v>GelSight</x:v>
      </x:c>
      <x:c r="E60" s="45" t="str">
        <x:v>GelSight, Inc.</x:v>
      </x:c>
      <x:c r="F60" s="45" t="str">
        <x:v>미국</x:v>
      </x:c>
      <x:c r="G60" s="45" t="str">
        <x:v>손·촉각</x:v>
      </x:c>
      <x:c r="H60" s="45" t="str">
        <x:v>미검증</x:v>
      </x:c>
      <x:c r="I60" s="46" t="str">
        <x:v>미확인·해당 없음</x:v>
      </x:c>
      <x:c r="J60" s="45" t="str">
        <x:v>미확인·해당 없음</x:v>
      </x:c>
      <x:c r="K60" s="45" t="str">
        <x:v>제품·연구 적용 확인</x:v>
      </x:c>
      <x:c r="L60" s="45" t="str">
        <x:v>광학 기반 촉각·접촉 형상 측정</x:v>
      </x:c>
      <x:c r="M60" s="45" t="str">
        <x:v>일반 계측 매출과 로봇 촉각 매출 분리</x:v>
      </x:c>
      <x:c r="N60" s="49" t="str"/>
      <x:c r="O60" s="45" t="str">
        <x:v>https://www.gelsight.com/</x:v>
      </x:c>
      <x:c r="P60" s="45" t="str">
        <x:v>조사 관련성 높음~85%; 사업 성공·투자 수익 확률 아님</x:v>
      </x:c>
    </x:row>
    <x:row r="61" ht="24" hidden="0" customHeight="1">
      <x:c r="A61" s="2"/>
      <x:c r="B61" s="2"/>
      <x:c r="C61" s="45" t="str">
        <x:v>UV042</x:v>
      </x:c>
      <x:c r="D61" s="45" t="str">
        <x:v>Inspire Robots</x:v>
      </x:c>
      <x:c r="E61" s="45" t="str">
        <x:v>Inspire Robots</x:v>
      </x:c>
      <x:c r="F61" s="45" t="str">
        <x:v>중국</x:v>
      </x:c>
      <x:c r="G61" s="45" t="str">
        <x:v>손·촉각
모터·서보·감속기·직선구동</x:v>
      </x:c>
      <x:c r="H61" s="45" t="str">
        <x:v>미검증</x:v>
      </x:c>
      <x:c r="I61" s="46" t="str">
        <x:v>미확인·해당 없음</x:v>
      </x:c>
      <x:c r="J61" s="45" t="str">
        <x:v>미확인·해당 없음</x:v>
      </x:c>
      <x:c r="K61" s="45" t="str">
        <x:v>제품 판매·규격 확인</x:v>
      </x:c>
      <x:c r="L61" s="45" t="str">
        <x:v>마이크로 선형서보와 다지 손</x:v>
      </x:c>
      <x:c r="M61" s="45" t="str">
        <x:v>능동 자유도와 관절 수를 구분</x:v>
      </x:c>
      <x:c r="N61" s="49" t="str"/>
      <x:c r="O61" s="45" t="str">
        <x:v>https://en.inspire-robots.com/</x:v>
      </x:c>
      <x:c r="P61" s="45" t="str">
        <x:v>조사 관련성 높음~85%; 사업 성공·투자 수익 확률 아님</x:v>
      </x:c>
    </x:row>
    <x:row r="62" ht="24" hidden="0" customHeight="1">
      <x:c r="A62" s="2"/>
      <x:c r="B62" s="2"/>
      <x:c r="C62" s="45" t="str">
        <x:v>UV043</x:v>
      </x:c>
      <x:c r="D62" s="45" t="str">
        <x:v>Linkerbot</x:v>
      </x:c>
      <x:c r="E62" s="45" t="str">
        <x:v>Linkerbot</x:v>
      </x:c>
      <x:c r="F62" s="45" t="str">
        <x:v>중국</x:v>
      </x:c>
      <x:c r="G62" s="45" t="str">
        <x:v>손·촉각
모델·데이터·시뮬레이션</x:v>
      </x:c>
      <x:c r="H62" s="45" t="str">
        <x:v>미검증</x:v>
      </x:c>
      <x:c r="I62" s="46" t="str">
        <x:v>미확인·해당 없음</x:v>
      </x:c>
      <x:c r="J62" s="45" t="str">
        <x:v>미확인·해당 없음</x:v>
      </x:c>
      <x:c r="K62" s="45" t="str">
        <x:v>제품·협력 발표 확인</x:v>
      </x:c>
      <x:c r="L62" s="45" t="str">
        <x:v>연결구조·직접구동·텐던식 손과 학습 데이터</x:v>
      </x:c>
      <x:c r="M62" s="45" t="str">
        <x:v>회사 제시 시장점유율·수명은 자체 주장</x:v>
      </x:c>
      <x:c r="N62" s="49" t="str"/>
      <x:c r="O62" s="45" t="str">
        <x:v>https://linkerbot.cn/</x:v>
      </x:c>
      <x:c r="P62" s="45" t="str">
        <x:v>조사 관련성 높음~85%; 사업 성공·투자 수익 확률 아님</x:v>
      </x:c>
    </x:row>
    <x:row r="63" ht="24" hidden="0" customHeight="1">
      <x:c r="A63" s="2"/>
      <x:c r="B63" s="2"/>
      <x:c r="C63" s="45" t="str">
        <x:v>UV044</x:v>
      </x:c>
      <x:c r="D63" s="45" t="str">
        <x:v>PaXini</x:v>
      </x:c>
      <x:c r="E63" s="45" t="str">
        <x:v>PaXini Technology</x:v>
      </x:c>
      <x:c r="F63" s="45" t="str">
        <x:v>중국</x:v>
      </x:c>
      <x:c r="G63" s="45" t="str">
        <x:v>손·촉각
모델·데이터·시뮬레이션</x:v>
      </x:c>
      <x:c r="H63" s="45" t="str">
        <x:v>미검증</x:v>
      </x:c>
      <x:c r="I63" s="46" t="str">
        <x:v>미확인·해당 없음</x:v>
      </x:c>
      <x:c r="J63" s="45" t="str">
        <x:v>미확인·해당 없음</x:v>
      </x:c>
      <x:c r="K63" s="45" t="str">
        <x:v>제품·데이터 플랫폼 확인</x:v>
      </x:c>
      <x:c r="L63" s="45" t="str">
        <x:v>다축 촉각·DexH·OmniSharing 데이터</x:v>
      </x:c>
      <x:c r="M63" s="45" t="str">
        <x:v>촉각 소자 수와 작업 성공률을 구분</x:v>
      </x:c>
      <x:c r="N63" s="49" t="str"/>
      <x:c r="O63" s="45" t="str">
        <x:v>https://paxini.com/</x:v>
      </x:c>
      <x:c r="P63" s="45" t="str">
        <x:v>조사 관련성 높음~85%; 사업 성공·투자 수익 확률 아님</x:v>
      </x:c>
    </x:row>
    <x:row r="64" ht="15" hidden="0" customHeight="1">
      <x:c r="A64" s="2"/>
      <x:c r="B64" s="2"/>
      <x:c r="C64" s="45" t="str">
        <x:v>UV041</x:v>
      </x:c>
      <x:c r="D64" s="45" t="str">
        <x:v>Shadow Robot</x:v>
      </x:c>
      <x:c r="E64" s="45" t="str">
        <x:v>Shadow Robot Company</x:v>
      </x:c>
      <x:c r="F64" s="45" t="str">
        <x:v>영국</x:v>
      </x:c>
      <x:c r="G64" s="45" t="str">
        <x:v>손·촉각</x:v>
      </x:c>
      <x:c r="H64" s="45" t="str">
        <x:v>미검증</x:v>
      </x:c>
      <x:c r="I64" s="46" t="str">
        <x:v>미확인·해당 없음</x:v>
      </x:c>
      <x:c r="J64" s="45" t="str">
        <x:v>미확인·해당 없음</x:v>
      </x:c>
      <x:c r="K64" s="45" t="str">
        <x:v>공동개발 발표 확인</x:v>
      </x:c>
      <x:c r="L64" s="45" t="str">
        <x:v>Dexterous Hand·DeepMind 공동 DEX-EE</x:v>
      </x:c>
      <x:c r="M64" s="45" t="str">
        <x:v>DEX-EE 연구 도구를 양산 가정용 손으로 동일시하지 않음</x:v>
      </x:c>
      <x:c r="N64" s="49" t="str"/>
      <x:c r="O64" s="45" t="str">
        <x:v>https://shadowrobot.com/</x:v>
      </x:c>
      <x:c r="P64" s="45" t="str">
        <x:v>조사 관련성 높음~85%; 사업 성공·투자 수익 확률 아님</x:v>
      </x:c>
    </x:row>
    <x:row r="65" ht="15" hidden="0" customHeight="1">
      <x:c r="A65" s="2"/>
      <x:c r="B65" s="2"/>
      <x:c r="C65" s="45" t="str">
        <x:v>UV092</x:v>
      </x:c>
      <x:c r="D65" s="45" t="str">
        <x:v>Sharpa</x:v>
      </x:c>
      <x:c r="E65" s="45" t="str">
        <x:v>Sharpa</x:v>
      </x:c>
      <x:c r="F65" s="45" t="str">
        <x:v>싱가포르</x:v>
      </x:c>
      <x:c r="G65" s="45" t="str">
        <x:v>손·촉각</x:v>
      </x:c>
      <x:c r="H65" s="45" t="str">
        <x:v>미검증</x:v>
      </x:c>
      <x:c r="I65" s="46" t="str">
        <x:v>미확인·해당 없음</x:v>
      </x:c>
      <x:c r="J65" s="45" t="str">
        <x:v>미확인·해당 없음</x:v>
      </x:c>
      <x:c r="K65" s="45" t="str">
        <x:v>기준설계 채택 발표 확인</x:v>
      </x:c>
      <x:c r="L65" s="45" t="str">
        <x:v>NVIDIA–Unitree 연구 기준설계 다지 손</x:v>
      </x:c>
      <x:c r="M65" s="45" t="str">
        <x:v>연구 기준설계 채택이 전체 휴머노이드 시장점유율은 아님</x:v>
      </x:c>
      <x:c r="N65" s="49" t="str"/>
      <x:c r="O65" s="45" t="str">
        <x:v>https://nvidianews.nvidia.com/news/nvidia-open-humanoid-robot-reference-design</x:v>
      </x:c>
      <x:c r="P65" s="45" t="str">
        <x:v>조사 관련성 높음~85%; 사업 성공·투자 수익 확률 아님</x:v>
      </x:c>
    </x:row>
    <x:row r="66" ht="60" hidden="0" customHeight="1">
      <x:c r="A66" s="2"/>
      <x:c r="B66" s="2"/>
      <x:c r="C66" s="45" t="str">
        <x:v>UV047</x:v>
      </x:c>
      <x:c r="D66" s="45" t="str">
        <x:v>Tesollo</x:v>
      </x:c>
      <x:c r="E66" s="45" t="str">
        <x:v>Tesollo Inc.</x:v>
      </x:c>
      <x:c r="F66" s="45" t="str">
        <x:v>한국</x:v>
      </x:c>
      <x:c r="G66" s="45" t="str">
        <x:v>손·촉각</x:v>
      </x:c>
      <x:c r="H66" s="45" t="str">
        <x:v>비상장·IPO 준비</x:v>
      </x:c>
      <x:c r="I66" s="46" t="str">
        <x:v>미확인·해당 없음</x:v>
      </x:c>
      <x:c r="J66" s="45" t="str">
        <x:v>미확인·해당 없음</x:v>
      </x:c>
      <x:c r="K66" s="45" t="str">
        <x:v>외부 연구 사용 확인</x:v>
      </x:c>
      <x:c r="L66" s="45" t="str">
        <x:v>Stanford HandelBot·DexDrummer 실제DG-5F사용</x:v>
      </x:c>
      <x:c r="M66" s="45" t="str">
        <x:v>해외 연구실의 실물 채택 확인. 연구 활용과 산업 양산 계약·매출은 구분.</x:v>
      </x:c>
      <x:c r="N66" s="49" t="str"/>
      <x:c r="O66" s="45" t="str">
        <x:v>https://www.tesollo.com/products/grippers/dg-5f-m
https://www.tesollo.com/products/grippers/dg-5f-s
https://arxiv.org/html/2603.12243v3
https://arxiv.org/html/2603.22263v1
https://www.tesollo.com/news/press</x:v>
      </x:c>
      <x:c r="P66" s="45" t="str">
        <x:v>높음~90%; 조사 관련성의 주관적 판단이며 투자수익 확률 아님</x:v>
      </x:c>
    </x:row>
    <x:row r="67" ht="48" hidden="0" customHeight="1">
      <x:c r="A67" s="2"/>
      <x:c r="B67" s="2"/>
      <x:c r="C67" s="45" t="str">
        <x:v>UV100</x:v>
      </x:c>
      <x:c r="D67" s="45" t="str">
        <x:v>Wonik Robotics</x:v>
      </x:c>
      <x:c r="E67" s="45" t="str">
        <x:v>Wonik Robotics Co., Ltd.</x:v>
      </x:c>
      <x:c r="F67" s="45" t="str">
        <x:v>한국</x:v>
      </x:c>
      <x:c r="G67" s="45" t="str">
        <x:v>손·촉각
제조·통합·정비</x:v>
      </x:c>
      <x:c r="H67" s="45" t="str">
        <x:v>비상장</x:v>
      </x:c>
      <x:c r="I67" s="46" t="str">
        <x:v>미확인·해당 없음</x:v>
      </x:c>
      <x:c r="J67" s="45" t="str">
        <x:v>미확인·해당 없음</x:v>
      </x:c>
      <x:c r="K67" s="45" t="str">
        <x:v>외부 공동개발·연구 사용 확인</x:v>
      </x:c>
      <x:c r="L67" s="45" t="str">
        <x:v>Allegro Hand·Meta 촉각통합; AMMR</x:v>
      </x:c>
      <x:c r="M67" s="45" t="str">
        <x:v>원익홀딩스자회사.2025말96.66%는신규투자후현재비율아님;로봇총매출과손매출구분</x:v>
      </x:c>
      <x:c r="N67" s="49" t="str"/>
      <x:c r="O67" s="45" t="str">
        <x:v>https://ai.meta.com/blog/fair-robotics-open-source/
https://www.allegrohand.com/sub/about/news.php?bid=4&amp;idx=648&amp;mode=view
https://haozhi.io/hora/
https://www.wonikholdings.kr/ir_01_Detail.do?no_no=34&amp;page=1</x:v>
      </x:c>
      <x:c r="P67" s="45" t="str">
        <x:v>높음~90%; 조사 관련성의 주관적 판단이며 투자수익 확률 아님</x:v>
      </x:c>
    </x:row>
    <x:row r="68" ht="15" hidden="0" customHeight="1">
      <x:c r="A68" s="2"/>
      <x:c r="B68" s="2"/>
      <x:c r="C68" s="45" t="str">
        <x:v>UV046</x:v>
      </x:c>
      <x:c r="D68" s="45" t="str">
        <x:v>XELA Robotics</x:v>
      </x:c>
      <x:c r="E68" s="45" t="str">
        <x:v>XELA Robotics</x:v>
      </x:c>
      <x:c r="F68" s="45" t="str">
        <x:v>일본</x:v>
      </x:c>
      <x:c r="G68" s="45" t="str">
        <x:v>손·촉각</x:v>
      </x:c>
      <x:c r="H68" s="45" t="str">
        <x:v>미검증</x:v>
      </x:c>
      <x:c r="I68" s="46" t="str">
        <x:v>미확인·해당 없음</x:v>
      </x:c>
      <x:c r="J68" s="45" t="str">
        <x:v>미확인·해당 없음</x:v>
      </x:c>
      <x:c r="K68" s="45" t="str">
        <x:v>제품 확인</x:v>
      </x:c>
      <x:c r="L68" s="45" t="str">
        <x:v>uSkin 압력·전단 촉각과 uAi 소프트웨어</x:v>
      </x:c>
      <x:c r="M68" s="45" t="str">
        <x:v>센서 사양은 특정 OEM 납품 증거 아님</x:v>
      </x:c>
      <x:c r="N68" s="49" t="str"/>
      <x:c r="O68" s="45" t="str">
        <x:v>https://xelarobotics.com/</x:v>
      </x:c>
      <x:c r="P68" s="45" t="str">
        <x:v>조사 관련성 높음~85%; 사업 성공·투자 수익 확률 아님</x:v>
      </x:c>
    </x:row>
    <x:row r="69" ht="72" hidden="0" customHeight="1">
      <x:c r="A69" s="2"/>
      <x:c r="B69" s="2"/>
      <x:c r="C69" s="45" t="str">
        <x:v>UV102</x:v>
      </x:c>
      <x:c r="D69" s="45" t="str">
        <x:v>AIDIN Robotics</x:v>
      </x:c>
      <x:c r="E69" s="45" t="str">
        <x:v>AIDIN ROBOTICS Inc.</x:v>
      </x:c>
      <x:c r="F69" s="45" t="str">
        <x:v>한국</x:v>
      </x:c>
      <x:c r="G69" s="45" t="str">
        <x:v>비전·힘·위치·안전센서
손·촉각
제조·통합·정비</x:v>
      </x:c>
      <x:c r="H69" s="45" t="str">
        <x:v>비상장</x:v>
      </x:c>
      <x:c r="I69" s="46" t="str">
        <x:v>미확인·해당 없음</x:v>
      </x:c>
      <x:c r="J69" s="45" t="str">
        <x:v>미확인·해당 없음</x:v>
      </x:c>
      <x:c r="K69" s="45" t="str">
        <x:v>통합 상대방 사례 확인</x:v>
      </x:c>
      <x:c r="L69" s="45" t="str">
        <x:v>6축힘토크·촉각·AIRO-ONE표면처리;로봇손개발</x:v>
      </x:c>
      <x:c r="M69" s="45" t="str">
        <x:v>HD현대로보틱스협력과BostonDynamics/현대차그룹혼동금지;해외OEM양산미확인</x:v>
      </x:c>
      <x:c r="N69" s="49" t="str"/>
      <x:c r="O69" s="45" t="str">
        <x:v>https://www.aidinrobotics.co.kr/
https://www.zivid.com/aidin-robotics-enabling-next-level-automated-surface-finishing-with-high-precision-3d-vision
https://www.aidinrobotics.co.kr/post/%EC%97%90%EC%9D%B4%EB%94%98%EB%A1%9C%EB%B3%B4%ED%8B%B1%EC%8A%A4-hd%ED%98%84%EB%8C%80%EB%A1%9C%EB%B3%B4%ED%8B%B1%EC%8A%A4-%EC%82%BC%EC%84%B1%EB%B2%A4%EC%B2%98%ED%88%AC%EC%9E%90%EC%84%9C-160%EC%96%B5-%ED%88%AC%EC%9E%90-%EC%9C%A0%EC%B9%98-%EB%A1%9C%EB%B4%87%ED%95%B8%EB%93%9C-%EA%B3%B5%EB%8F%99%EA%B0%9C%EB%B0%9C</x:v>
      </x:c>
      <x:c r="P69" s="45" t="str">
        <x:v>중간~75%; 조사 관련성의 주관적 판단이며 투자수익 확률 아님</x:v>
      </x:c>
    </x:row>
    <x:row r="70" ht="24" hidden="0" customHeight="1">
      <x:c r="A70" s="2"/>
      <x:c r="B70" s="2"/>
      <x:c r="C70" s="45" t="str">
        <x:v>UV050</x:v>
      </x:c>
      <x:c r="D70" s="45" t="str">
        <x:v>Cognex</x:v>
      </x:c>
      <x:c r="E70" s="45" t="str">
        <x:v>Cognex Corporation</x:v>
      </x:c>
      <x:c r="F70" s="45" t="str">
        <x:v>미국</x:v>
      </x:c>
      <x:c r="G70" s="45" t="str">
        <x:v>비전·힘·위치·안전센서
대체 자동화</x:v>
      </x:c>
      <x:c r="H70" s="45" t="str">
        <x:v>미검증</x:v>
      </x:c>
      <x:c r="I70" s="46" t="str">
        <x:v>미확인·해당 없음</x:v>
      </x:c>
      <x:c r="J70" s="45" t="str">
        <x:v>미확인·해당 없음</x:v>
      </x:c>
      <x:c r="K70" s="45" t="str">
        <x:v>기존 자동화 비교</x:v>
      </x:c>
      <x:c r="L70" s="45" t="str">
        <x:v>로봇 비전 가이드·검사</x:v>
      </x:c>
      <x:c r="M70" s="45" t="str">
        <x:v>휴머노이드 직접 매출 미확인</x:v>
      </x:c>
      <x:c r="N70" s="49" t="str"/>
      <x:c r="O70" s="45" t="str">
        <x:v>https://www.cognex.com/</x:v>
      </x:c>
      <x:c r="P70" s="45" t="str">
        <x:v>조사 관련성 높음~85%; 사업 성공·투자 수익 확률 아님</x:v>
      </x:c>
    </x:row>
    <x:row r="71" ht="24" hidden="0" customHeight="1">
      <x:c r="A71" s="2"/>
      <x:c r="B71" s="2"/>
      <x:c r="C71" s="45" t="str">
        <x:v>UV051</x:v>
      </x:c>
      <x:c r="D71" s="45" t="str">
        <x:v>Keyence</x:v>
      </x:c>
      <x:c r="E71" s="45" t="str">
        <x:v>KEYENCE Corporation</x:v>
      </x:c>
      <x:c r="F71" s="45" t="str">
        <x:v>일본</x:v>
      </x:c>
      <x:c r="G71" s="45" t="str">
        <x:v>비전·힘·위치·안전센서
대체 자동화</x:v>
      </x:c>
      <x:c r="H71" s="45" t="str">
        <x:v>미검증</x:v>
      </x:c>
      <x:c r="I71" s="46" t="str">
        <x:v>미확인·해당 없음</x:v>
      </x:c>
      <x:c r="J71" s="45" t="str">
        <x:v>미확인·해당 없음</x:v>
      </x:c>
      <x:c r="K71" s="45" t="str">
        <x:v>기존 자동화 비교</x:v>
      </x:c>
      <x:c r="L71" s="45" t="str">
        <x:v>VS 비전 로봇 가이드·검사 센서</x:v>
      </x:c>
      <x:c r="M71" s="45" t="str">
        <x:v>휴머노이드 직접 매출 미확인</x:v>
      </x:c>
      <x:c r="N71" s="49" t="str"/>
      <x:c r="O71" s="45" t="str">
        <x:v>https://www.keyence.com/</x:v>
      </x:c>
      <x:c r="P71" s="45" t="str">
        <x:v>조사 관련성 높음~85%; 사업 성공·투자 수익 확률 아님</x:v>
      </x:c>
    </x:row>
    <x:row r="72" ht="24" hidden="0" customHeight="1">
      <x:c r="A72" s="2"/>
      <x:c r="B72" s="2"/>
      <x:c r="C72" s="45" t="str">
        <x:v>UV048</x:v>
      </x:c>
      <x:c r="D72" s="45" t="str">
        <x:v>Novanta / ATI</x:v>
      </x:c>
      <x:c r="E72" s="45" t="str">
        <x:v>Novanta Inc. / ATI Industrial Automation</x:v>
      </x:c>
      <x:c r="F72" s="45" t="str">
        <x:v>미국</x:v>
      </x:c>
      <x:c r="G72" s="45" t="str">
        <x:v>비전·힘·위치·안전센서
모터·서보·감속기·직선구동</x:v>
      </x:c>
      <x:c r="H72" s="45" t="str">
        <x:v>미검증</x:v>
      </x:c>
      <x:c r="I72" s="46" t="str">
        <x:v>미확인·해당 없음</x:v>
      </x:c>
      <x:c r="J72" s="45" t="str">
        <x:v>미확인·해당 없음</x:v>
      </x:c>
      <x:c r="K72" s="45" t="str">
        <x:v>제품·기존 자동화 연동 확인</x:v>
      </x:c>
      <x:c r="L72" s="45" t="str">
        <x:v>힘·토크 센서·Varo 휴머노이드 손목용 제품</x:v>
      </x:c>
      <x:c r="M72" s="45" t="str">
        <x:v>ATI와 모회사 Novanta를 한 행으로 집계</x:v>
      </x:c>
      <x:c r="N72" s="49" t="str"/>
      <x:c r="O72" s="45" t="str">
        <x:v>https://ati.novanta.com/product-category/force-torque-sensors/</x:v>
      </x:c>
      <x:c r="P72" s="45" t="str">
        <x:v>조사 관련성 높음~85%; 사업 성공·투자 수익 확률 아님</x:v>
      </x:c>
    </x:row>
    <x:row r="73" ht="15" hidden="0" customHeight="1">
      <x:c r="A73" s="2"/>
      <x:c r="B73" s="2"/>
      <x:c r="C73" s="45" t="str">
        <x:v>UV053</x:v>
      </x:c>
      <x:c r="D73" s="45" t="str">
        <x:v>Renishaw</x:v>
      </x:c>
      <x:c r="E73" s="45" t="str">
        <x:v>Renishaw plc</x:v>
      </x:c>
      <x:c r="F73" s="45" t="str">
        <x:v>영국</x:v>
      </x:c>
      <x:c r="G73" s="45" t="str">
        <x:v>비전·힘·위치·안전센서</x:v>
      </x:c>
      <x:c r="H73" s="45" t="str">
        <x:v>미검증</x:v>
      </x:c>
      <x:c r="I73" s="46" t="str">
        <x:v>미확인·해당 없음</x:v>
      </x:c>
      <x:c r="J73" s="45" t="str">
        <x:v>미확인·해당 없음</x:v>
      </x:c>
      <x:c r="K73" s="45" t="str">
        <x:v>로봇 응용제품 확인</x:v>
      </x:c>
      <x:c r="L73" s="45" t="str">
        <x:v>로봇용 위치 피드백·광학 및 자기식 인코더</x:v>
      </x:c>
      <x:c r="M73" s="45" t="str">
        <x:v>휴머노이드 지정 고객·수량 미확인</x:v>
      </x:c>
      <x:c r="N73" s="49" t="str"/>
      <x:c r="O73" s="45" t="str">
        <x:v>https://info.renishaw.com/Encoders-Robotics</x:v>
      </x:c>
      <x:c r="P73" s="45" t="str">
        <x:v>조사 관련성 높음~85%; 사업 성공·투자 수익 확률 아님</x:v>
      </x:c>
    </x:row>
    <x:row r="74" ht="15" hidden="0" customHeight="1">
      <x:c r="A74" s="2"/>
      <x:c r="B74" s="2"/>
      <x:c r="C74" s="45" t="str">
        <x:v>UV052</x:v>
      </x:c>
      <x:c r="D74" s="45" t="str">
        <x:v>SICK</x:v>
      </x:c>
      <x:c r="E74" s="45" t="str">
        <x:v>SICK AG</x:v>
      </x:c>
      <x:c r="F74" s="45" t="str">
        <x:v>독일</x:v>
      </x:c>
      <x:c r="G74" s="45" t="str">
        <x:v>비전·힘·위치·안전센서</x:v>
      </x:c>
      <x:c r="H74" s="45" t="str">
        <x:v>미검증</x:v>
      </x:c>
      <x:c r="I74" s="46" t="str">
        <x:v>미확인·해당 없음</x:v>
      </x:c>
      <x:c r="J74" s="45" t="str">
        <x:v>미확인·해당 없음</x:v>
      </x:c>
      <x:c r="K74" s="45" t="str">
        <x:v>기술 인접·기존 적용</x:v>
      </x:c>
      <x:c r="L74" s="45" t="str">
        <x:v>안전 센서·동적 보호·산업 로봇 협업</x:v>
      </x:c>
      <x:c r="M74" s="45" t="str">
        <x:v>안전 제품 존재와 특정 기체 안전 인증을 구분</x:v>
      </x:c>
      <x:c r="N74" s="49" t="str"/>
      <x:c r="O74" s="45" t="str">
        <x:v>https://www.sick.com/us/en/safe-robotics/s/safe-robotics</x:v>
      </x:c>
      <x:c r="P74" s="45" t="str">
        <x:v>조사 관련성 중간~70%; 사업 성공·투자 수익 확률 아님</x:v>
      </x:c>
    </x:row>
    <x:row r="75" ht="36" hidden="0" customHeight="1">
      <x:c r="A75" s="2"/>
      <x:c r="B75" s="2"/>
      <x:c r="C75" s="45" t="str">
        <x:v>UV049</x:v>
      </x:c>
      <x:c r="D75" s="45" t="str">
        <x:v>Orbbec</x:v>
      </x:c>
      <x:c r="E75" s="45" t="str">
        <x:v>奥比中光科技集团股份有限公司</x:v>
      </x:c>
      <x:c r="F75" s="45" t="str">
        <x:v>중국</x:v>
      </x:c>
      <x:c r="G75" s="45" t="str">
        <x:v>비전·힘·위치·안전센서
모델·데이터·시뮬레이션
제조·통합·정비</x:v>
      </x:c>
      <x:c r="H75" s="45" t="str">
        <x:v>미검증</x:v>
      </x:c>
      <x:c r="I75" s="46" t="str">
        <x:v>미확인·해당 없음</x:v>
      </x:c>
      <x:c r="J75" s="45" t="str">
        <x:v>미확인·해당 없음</x:v>
      </x:c>
      <x:c r="K75" s="45" t="str">
        <x:v>제품·파트너십 확인</x:v>
      </x:c>
      <x:c r="L75" s="45" t="str">
        <x:v>3D카메라·기체 없는 데이터 수집·로봇 위탁제조</x:v>
      </x:c>
      <x:c r="M75" s="45" t="str">
        <x:v>Linkerbot 협력과 확정 공급 매출은 별개</x:v>
      </x:c>
      <x:c r="N75" s="49" t="str"/>
      <x:c r="O75" s="45" t="str">
        <x:v>https://www.orbbec.com/</x:v>
      </x:c>
      <x:c r="P75" s="45" t="str">
        <x:v>조사 관련성 높음~85%; 사업 성공·투자 수익 확률 아님</x:v>
      </x:c>
    </x:row>
    <x:row r="76" ht="15" hidden="0" customHeight="1">
      <x:c r="A76" s="2"/>
      <x:c r="B76" s="2"/>
      <x:c r="C76" s="45" t="str">
        <x:v>UV057</x:v>
      </x:c>
      <x:c r="D76" s="45" t="str">
        <x:v>AMD</x:v>
      </x:c>
      <x:c r="E76" s="45" t="str">
        <x:v>Advanced Micro Devices, Inc.</x:v>
      </x:c>
      <x:c r="F76" s="45" t="str">
        <x:v>미국</x:v>
      </x:c>
      <x:c r="G76" s="45" t="str">
        <x:v>컴퓨팅·전력·배터리·열관리</x:v>
      </x:c>
      <x:c r="H76" s="45" t="str">
        <x:v>미검증</x:v>
      </x:c>
      <x:c r="I76" s="46" t="str">
        <x:v>미확인·해당 없음</x:v>
      </x:c>
      <x:c r="J76" s="45" t="str">
        <x:v>미확인·해당 없음</x:v>
      </x:c>
      <x:c r="K76" s="45" t="str">
        <x:v>기술 인접·플랫폼 확인</x:v>
      </x:c>
      <x:c r="L76" s="45" t="str">
        <x:v>Kria 로봇 개발·실시간 제어</x:v>
      </x:c>
      <x:c r="M76" s="45" t="str">
        <x:v>휴머노이드 특정 매출 미확인</x:v>
      </x:c>
      <x:c r="N76" s="49" t="str"/>
      <x:c r="O76" s="45" t="str">
        <x:v>https://www.amd.com/</x:v>
      </x:c>
      <x:c r="P76" s="45" t="str">
        <x:v>조사 관련성 중간~70%; 사업 성공·투자 수익 확률 아님</x:v>
      </x:c>
    </x:row>
    <x:row r="77" ht="36" hidden="0" customHeight="1">
      <x:c r="A77" s="2"/>
      <x:c r="B77" s="2"/>
      <x:c r="C77" s="45" t="str">
        <x:v>UV060</x:v>
      </x:c>
      <x:c r="D77" s="45" t="str">
        <x:v>Delta Electronics</x:v>
      </x:c>
      <x:c r="E77" s="45" t="str">
        <x:v>Delta Electronics, Inc.</x:v>
      </x:c>
      <x:c r="F77" s="45" t="str">
        <x:v>대만</x:v>
      </x:c>
      <x:c r="G77" s="45" t="str">
        <x:v>컴퓨팅·전력·배터리·열관리
모터·서보·감속기·직선구동
대체 자동화</x:v>
      </x:c>
      <x:c r="H77" s="45" t="str">
        <x:v>상장</x:v>
      </x:c>
      <x:c r="I77" s="48" t="str">
        <x:v>2308</x:v>
      </x:c>
      <x:c r="J77" s="45" t="str">
        <x:v>TWSE</x:v>
      </x:c>
      <x:c r="K77" s="45" t="str">
        <x:v>기술 인접·제품 확인</x:v>
      </x:c>
      <x:c r="L77" s="45" t="str">
        <x:v>전원·열관리·서보·산업 자동화</x:v>
      </x:c>
      <x:c r="M77" s="45" t="str">
        <x:v>데이터센터 전원 매출을 로봇 매출로 전용하지 않음</x:v>
      </x:c>
      <x:c r="N77" s="49" t="n">
        <x:v>46281</x:v>
      </x:c>
      <x:c r="O77" s="45" t="str">
        <x:v>https://www.deltaww.com/en-US/index
https://www.deltaww.com/en-US/investors/analyst-meeting</x:v>
      </x:c>
      <x:c r="P77" s="45" t="str">
        <x:v>조사 관련성 중간~70%; 사업 성공·투자 수익 확률 아님</x:v>
      </x:c>
    </x:row>
    <x:row r="78" ht="24" hidden="0" customHeight="1">
      <x:c r="A78" s="2"/>
      <x:c r="B78" s="2"/>
      <x:c r="C78" s="45" t="str">
        <x:v>UV058</x:v>
      </x:c>
      <x:c r="D78" s="45" t="str">
        <x:v>Infineon</x:v>
      </x:c>
      <x:c r="E78" s="45" t="str">
        <x:v>Infineon Technologies AG</x:v>
      </x:c>
      <x:c r="F78" s="45" t="str">
        <x:v>독일</x:v>
      </x:c>
      <x:c r="G78" s="45" t="str">
        <x:v>컴퓨팅·전력·배터리·열관리
비전·힘·위치·안전센서</x:v>
      </x:c>
      <x:c r="H78" s="45" t="str">
        <x:v>미검증</x:v>
      </x:c>
      <x:c r="I78" s="46" t="str">
        <x:v>미확인·해당 없음</x:v>
      </x:c>
      <x:c r="J78" s="45" t="str">
        <x:v>미확인·해당 없음</x:v>
      </x:c>
      <x:c r="K78" s="45" t="str">
        <x:v>플랫폼 협력 발표</x:v>
      </x:c>
      <x:c r="L78" s="45" t="str">
        <x:v>로봇 센싱·제어·전력 반도체와 NVIDIA 생태계</x:v>
      </x:c>
      <x:c r="M78" s="45" t="str">
        <x:v>자동차·산업 전력 본업과 로봇을 분리</x:v>
      </x:c>
      <x:c r="N78" s="49" t="str"/>
      <x:c r="O78" s="45" t="str">
        <x:v>https://www.infineon.com/</x:v>
      </x:c>
      <x:c r="P78" s="45" t="str">
        <x:v>조사 관련성 높음~85%; 사업 성공·투자 수익 확률 아님</x:v>
      </x:c>
    </x:row>
    <x:row r="79" ht="24" hidden="0" customHeight="1">
      <x:c r="A79" s="2"/>
      <x:c r="B79" s="2"/>
      <x:c r="C79" s="45" t="str">
        <x:v>UV056</x:v>
      </x:c>
      <x:c r="D79" s="45" t="str">
        <x:v>Intel</x:v>
      </x:c>
      <x:c r="E79" s="45" t="str">
        <x:v>Intel Corporation</x:v>
      </x:c>
      <x:c r="F79" s="45" t="str">
        <x:v>미국</x:v>
      </x:c>
      <x:c r="G79" s="45" t="str">
        <x:v>컴퓨팅·전력·배터리·열관리
모델·데이터·시뮬레이션</x:v>
      </x:c>
      <x:c r="H79" s="45" t="str">
        <x:v>미검증</x:v>
      </x:c>
      <x:c r="I79" s="46" t="str">
        <x:v>미확인·해당 없음</x:v>
      </x:c>
      <x:c r="J79" s="45" t="str">
        <x:v>미확인·해당 없음</x:v>
      </x:c>
      <x:c r="K79" s="45" t="str">
        <x:v>개발 플랫폼 확인</x:v>
      </x:c>
      <x:c r="L79" s="45" t="str">
        <x:v>Robotics AI Suite·Core Ultra 로봇용 SDK</x:v>
      </x:c>
      <x:c r="M79" s="45" t="str">
        <x:v>과거 Intel Capital 투자를 현재 칩 납품으로 간주하지 않음</x:v>
      </x:c>
      <x:c r="N79" s="49" t="str"/>
      <x:c r="O79" s="45" t="str">
        <x:v>https://builders.intel.com/</x:v>
      </x:c>
      <x:c r="P79" s="45" t="str">
        <x:v>조사 관련성 높음~85%; 사업 성공·투자 수익 확률 아님</x:v>
      </x:c>
    </x:row>
    <x:row r="80" ht="36" hidden="0" customHeight="1">
      <x:c r="A80" s="2"/>
      <x:c r="B80" s="2"/>
      <x:c r="C80" s="45" t="str">
        <x:v>UV054</x:v>
      </x:c>
      <x:c r="D80" s="45" t="str">
        <x:v>NVIDIA</x:v>
      </x:c>
      <x:c r="E80" s="45" t="str">
        <x:v>NVIDIA Corporation</x:v>
      </x:c>
      <x:c r="F80" s="45" t="str">
        <x:v>미국</x:v>
      </x:c>
      <x:c r="G80" s="45" t="str">
        <x:v>컴퓨팅·전력·배터리·열관리
모델·데이터·시뮬레이션</x:v>
      </x:c>
      <x:c r="H80" s="45" t="str">
        <x:v>상장</x:v>
      </x:c>
      <x:c r="I80" s="46" t="str">
        <x:v>NVDA</x:v>
      </x:c>
      <x:c r="J80" s="45" t="str">
        <x:v>NASDAQ</x:v>
      </x:c>
      <x:c r="K80" s="45" t="str">
        <x:v>플랫폼·기준설계 확인</x:v>
      </x:c>
      <x:c r="L80" s="45" t="str">
        <x:v>Jetson·Isaac·GR00T·Unitree/Sharpa 기준설계</x:v>
      </x:c>
      <x:c r="M80" s="45" t="str">
        <x:v>전체 AI 매출을 휴머노이드 노출로 계산하지 않음</x:v>
      </x:c>
      <x:c r="N80" s="49" t="n">
        <x:v>46281</x:v>
      </x:c>
      <x:c r="O80" s="45" t="str">
        <x:v>https://nvidianews.nvidia.com/news/nvidia-open-humanoid-robot-reference-design
https://investor.nvidia.com/news/press-release-details/2026/NVIDIA-Announces-Financial-Results-for-Second-Quarter-Fiscal-2027/default.aspx</x:v>
      </x:c>
      <x:c r="P80" s="45" t="str">
        <x:v>조사 관련성 높음~85%; 사업 성공·투자 수익 확률 아님</x:v>
      </x:c>
    </x:row>
    <x:row r="81" ht="24" hidden="0" customHeight="1">
      <x:c r="A81" s="2"/>
      <x:c r="B81" s="2"/>
      <x:c r="C81" s="45" t="str">
        <x:v>UV055</x:v>
      </x:c>
      <x:c r="D81" s="45" t="str">
        <x:v>Qualcomm</x:v>
      </x:c>
      <x:c r="E81" s="45" t="str">
        <x:v>Qualcomm Incorporated</x:v>
      </x:c>
      <x:c r="F81" s="45" t="str">
        <x:v>미국</x:v>
      </x:c>
      <x:c r="G81" s="45" t="str">
        <x:v>컴퓨팅·전력·배터리·열관리
모델·데이터·시뮬레이션</x:v>
      </x:c>
      <x:c r="H81" s="45" t="str">
        <x:v>미검증</x:v>
      </x:c>
      <x:c r="I81" s="46" t="str">
        <x:v>미확인·해당 없음</x:v>
      </x:c>
      <x:c r="J81" s="45" t="str">
        <x:v>미확인·해당 없음</x:v>
      </x:c>
      <x:c r="K81" s="45" t="str">
        <x:v>전용 플랫폼 발표</x:v>
      </x:c>
      <x:c r="L81" s="45" t="str">
        <x:v>Dragonwing IQ10 등 로봇 컴퓨팅</x:v>
      </x:c>
      <x:c r="M81" s="45" t="str">
        <x:v>파트너십·설계채택·양산 매출 구분</x:v>
      </x:c>
      <x:c r="N81" s="49" t="str"/>
      <x:c r="O81" s="45" t="str">
        <x:v>https://www.qualcomm.com/</x:v>
      </x:c>
      <x:c r="P81" s="45" t="str">
        <x:v>조사 관련성 높음~85%; 사업 성공·투자 수익 확률 아님</x:v>
      </x:c>
    </x:row>
    <x:row r="82" ht="24" hidden="0" customHeight="1">
      <x:c r="A82" s="2"/>
      <x:c r="B82" s="2"/>
      <x:c r="C82" s="45" t="str">
        <x:v>UV059</x:v>
      </x:c>
      <x:c r="D82" s="45" t="str">
        <x:v>Texas Instruments</x:v>
      </x:c>
      <x:c r="E82" s="45" t="str">
        <x:v>Texas Instruments Incorporated</x:v>
      </x:c>
      <x:c r="F82" s="45" t="str">
        <x:v>미국</x:v>
      </x:c>
      <x:c r="G82" s="45" t="str">
        <x:v>컴퓨팅·전력·배터리·열관리
비전·힘·위치·안전센서</x:v>
      </x:c>
      <x:c r="H82" s="45" t="str">
        <x:v>미검증</x:v>
      </x:c>
      <x:c r="I82" s="46" t="str">
        <x:v>미확인·해당 없음</x:v>
      </x:c>
      <x:c r="J82" s="45" t="str">
        <x:v>미확인·해당 없음</x:v>
      </x:c>
      <x:c r="K82" s="45" t="str">
        <x:v>로봇 응용제품 확인</x:v>
      </x:c>
      <x:c r="L82" s="45" t="str">
        <x:v>로봇 제어·센싱·전력·통신 반도체</x:v>
      </x:c>
      <x:c r="M82" s="45" t="str">
        <x:v>특정 OEM 공급·시장점유율 미확인</x:v>
      </x:c>
      <x:c r="N82" s="49" t="str"/>
      <x:c r="O82" s="45" t="str">
        <x:v>https://www.ti.com/applications/industrial/robotics/overview.html</x:v>
      </x:c>
      <x:c r="P82" s="45" t="str">
        <x:v>조사 관련성 높음~85%; 사업 성공·투자 수익 확률 아님</x:v>
      </x:c>
    </x:row>
    <x:row r="83" ht="15" hidden="0" customHeight="1">
      <x:c r="A83" s="2"/>
      <x:c r="B83" s="2"/>
      <x:c r="C83" s="45" t="str">
        <x:v>UV061</x:v>
      </x:c>
      <x:c r="D83" s="45" t="str">
        <x:v>EVE Energy</x:v>
      </x:c>
      <x:c r="E83" s="45" t="str">
        <x:v>惠州亿纬锂能股份有限公司</x:v>
      </x:c>
      <x:c r="F83" s="45" t="str">
        <x:v>중국</x:v>
      </x:c>
      <x:c r="G83" s="45" t="str">
        <x:v>컴퓨팅·전력·배터리·열관리</x:v>
      </x:c>
      <x:c r="H83" s="45" t="str">
        <x:v>미검증</x:v>
      </x:c>
      <x:c r="I83" s="46" t="str">
        <x:v>미확인·해당 없음</x:v>
      </x:c>
      <x:c r="J83" s="45" t="str">
        <x:v>미확인·해당 없음</x:v>
      </x:c>
      <x:c r="K83" s="45" t="str">
        <x:v>로봇용 제품 발표 확인</x:v>
      </x:c>
      <x:c r="L83" s="45" t="str">
        <x:v>로봇 배터리 셀·BMS·팩 통합솔루션</x:v>
      </x:c>
      <x:c r="M83" s="45" t="str">
        <x:v>셀 에너지밀도와 완성 팩 수치 구분</x:v>
      </x:c>
      <x:c r="N83" s="49" t="str"/>
      <x:c r="O83" s="45" t="str">
        <x:v>https://www.evebattery.com/news-962</x:v>
      </x:c>
      <x:c r="P83" s="45" t="str">
        <x:v>조사 관련성 높음~85%; 사업 성공·투자 수익 확률 아님</x:v>
      </x:c>
    </x:row>
    <x:row r="84" ht="24" hidden="0" customHeight="1">
      <x:c r="A84" s="2"/>
      <x:c r="B84" s="2"/>
      <x:c r="C84" s="45" t="str">
        <x:v>UV062</x:v>
      </x:c>
      <x:c r="D84" s="45" t="str">
        <x:v>Alphabet (Google DeepMind 모회사)</x:v>
      </x:c>
      <x:c r="E84" s="45" t="str">
        <x:v>Alphabet Inc.</x:v>
      </x:c>
      <x:c r="F84" s="45" t="str">
        <x:v>미국</x:v>
      </x:c>
      <x:c r="G84" s="45" t="str">
        <x:v>모델·데이터·시뮬레이션</x:v>
      </x:c>
      <x:c r="H84" s="45" t="str">
        <x:v>상장</x:v>
      </x:c>
      <x:c r="I84" s="46" t="str">
        <x:v>GOOGL / GOOG</x:v>
      </x:c>
      <x:c r="J84" s="45" t="str">
        <x:v>NASDAQ</x:v>
      </x:c>
      <x:c r="K84" s="45" t="str">
        <x:v>연구·파트너십 확인</x:v>
      </x:c>
      <x:c r="L84" s="45" t="str">
        <x:v>Gemini Robotics·MuJoCo·로봇 모델</x:v>
      </x:c>
      <x:c r="M84" s="45" t="str">
        <x:v>DeepMind·Intrinsic 별도 주식으로 중복 집계하지 않음</x:v>
      </x:c>
      <x:c r="N84" s="49" t="n">
        <x:v>46281</x:v>
      </x:c>
      <x:c r="O84" s="45" t="str">
        <x:v>https://deepmind.google/blog/gemini-robotics-brings-ai-into-the-physical-world/
https://abc.xyz/</x:v>
      </x:c>
      <x:c r="P84" s="45" t="str">
        <x:v>조사 관련성 높음~85%; 사업 성공·투자 수익 확률 아님</x:v>
      </x:c>
    </x:row>
    <x:row r="85" ht="24" hidden="0" customHeight="1">
      <x:c r="A85" s="2"/>
      <x:c r="B85" s="2"/>
      <x:c r="C85" s="45" t="str">
        <x:v>UV067</x:v>
      </x:c>
      <x:c r="D85" s="45" t="str">
        <x:v>Dassault Systèmes</x:v>
      </x:c>
      <x:c r="E85" s="45" t="str">
        <x:v>Dassault Systèmes SE</x:v>
      </x:c>
      <x:c r="F85" s="45" t="str">
        <x:v>프랑스</x:v>
      </x:c>
      <x:c r="G85" s="45" t="str">
        <x:v>모델·데이터·시뮬레이션
제조·통합·정비</x:v>
      </x:c>
      <x:c r="H85" s="45" t="str">
        <x:v>미검증</x:v>
      </x:c>
      <x:c r="I85" s="46" t="str">
        <x:v>미확인·해당 없음</x:v>
      </x:c>
      <x:c r="J85" s="45" t="str">
        <x:v>미확인·해당 없음</x:v>
      </x:c>
      <x:c r="K85" s="45" t="str">
        <x:v>소프트웨어 제품·협력 발표</x:v>
      </x:c>
      <x:c r="L85" s="45" t="str">
        <x:v>DELMIA·디지털 제조·로봇 시뮬레이션</x:v>
      </x:c>
      <x:c r="M85" s="45" t="str">
        <x:v>일반 CAD/PLM 매출을 휴머노이드 매출로 계산하지 않음</x:v>
      </x:c>
      <x:c r="N85" s="49" t="str"/>
      <x:c r="O85" s="45" t="str">
        <x:v>https://www.3ds.com/</x:v>
      </x:c>
      <x:c r="P85" s="45" t="str">
        <x:v>조사 관련성 높음~85%; 사업 성공·투자 수익 확률 아님</x:v>
      </x:c>
    </x:row>
    <x:row r="86" ht="24" hidden="0" customHeight="1">
      <x:c r="A86" s="2"/>
      <x:c r="B86" s="2"/>
      <x:c r="C86" s="45" t="str">
        <x:v>UV093</x:v>
      </x:c>
      <x:c r="D86" s="45" t="str">
        <x:v>General Robotics</x:v>
      </x:c>
      <x:c r="E86" s="45" t="str">
        <x:v>General Robotics</x:v>
      </x:c>
      <x:c r="F86" s="45" t="str">
        <x:v>미국</x:v>
      </x:c>
      <x:c r="G86" s="45" t="str">
        <x:v>모델·데이터·시뮬레이션
제조·통합·정비</x:v>
      </x:c>
      <x:c r="H86" s="45" t="str">
        <x:v>미검증</x:v>
      </x:c>
      <x:c r="I86" s="46" t="str">
        <x:v>미확인·해당 없음</x:v>
      </x:c>
      <x:c r="J86" s="45" t="str">
        <x:v>미확인·해당 없음</x:v>
      </x:c>
      <x:c r="K86" s="45" t="str">
        <x:v>투자·플랫폼 통합 발표 확인</x:v>
      </x:c>
      <x:c r="L86" s="45" t="str">
        <x:v>GRID·NVIDIA Isaac Sim·Accenture 산업 적용</x:v>
      </x:c>
      <x:c r="M86" s="45" t="str">
        <x:v>동명 방산기업과 구분; 관련 투자발표의 AI 기업</x:v>
      </x:c>
      <x:c r="N86" s="49" t="str"/>
      <x:c r="O86" s="45" t="str">
        <x:v>https://newsroom.accenture.com/news/2026/accenture-invests-in-general-robotics-to-advance-physical-ai-powered-robotics-in-manufacturing-and-logistics</x:v>
      </x:c>
      <x:c r="P86" s="45" t="str">
        <x:v>조사 관련성 높음~85%; 사업 성공·투자 수익 확률 아님</x:v>
      </x:c>
    </x:row>
    <x:row r="87" ht="15" hidden="0" customHeight="1">
      <x:c r="A87" s="2"/>
      <x:c r="B87" s="2"/>
      <x:c r="C87" s="45" t="str">
        <x:v>UV068</x:v>
      </x:c>
      <x:c r="D87" s="45" t="str">
        <x:v>Generalist AI</x:v>
      </x:c>
      <x:c r="E87" s="45" t="str">
        <x:v>Generalist AI, Inc.</x:v>
      </x:c>
      <x:c r="F87" s="45" t="str">
        <x:v>미국</x:v>
      </x:c>
      <x:c r="G87" s="45" t="str">
        <x:v>모델·데이터·시뮬레이션</x:v>
      </x:c>
      <x:c r="H87" s="45" t="str">
        <x:v>미검증</x:v>
      </x:c>
      <x:c r="I87" s="46" t="str">
        <x:v>미확인·해당 없음</x:v>
      </x:c>
      <x:c r="J87" s="45" t="str">
        <x:v>미확인·해당 없음</x:v>
      </x:c>
      <x:c r="K87" s="45" t="str">
        <x:v>모델 발표 확인</x:v>
      </x:c>
      <x:c r="L87" s="45" t="str">
        <x:v>GEN 계열·여러 말단도구 간 전이</x:v>
      </x:c>
      <x:c r="M87" s="45" t="str">
        <x:v>모델 성능 주장과 독립 고객 KPI 구분</x:v>
      </x:c>
      <x:c r="N87" s="49" t="str"/>
      <x:c r="O87" s="45" t="str">
        <x:v>https://generalistai.com/</x:v>
      </x:c>
      <x:c r="P87" s="45" t="str">
        <x:v>조사 관련성 높음~85%; 사업 성공·투자 수익 확률 아님</x:v>
      </x:c>
    </x:row>
    <x:row r="88" ht="24" hidden="0" customHeight="1">
      <x:c r="A88" s="2"/>
      <x:c r="B88" s="2"/>
      <x:c r="C88" s="45" t="str">
        <x:v>UV069</x:v>
      </x:c>
      <x:c r="D88" s="45" t="str">
        <x:v>Genesis AI</x:v>
      </x:c>
      <x:c r="E88" s="45" t="str">
        <x:v>Genesis AI SAS</x:v>
      </x:c>
      <x:c r="F88" s="45" t="str">
        <x:v>프랑스</x:v>
      </x:c>
      <x:c r="G88" s="45" t="str">
        <x:v>모델·데이터·시뮬레이션
완성체</x:v>
      </x:c>
      <x:c r="H88" s="45" t="str">
        <x:v>미검증</x:v>
      </x:c>
      <x:c r="I88" s="46" t="str">
        <x:v>미확인·해당 없음</x:v>
      </x:c>
      <x:c r="J88" s="45" t="str">
        <x:v>미확인·해당 없음</x:v>
      </x:c>
      <x:c r="K88" s="45" t="str">
        <x:v>자체 개발·배치 계획</x:v>
      </x:c>
      <x:c r="L88" s="45" t="str">
        <x:v>Physical AI와 Eno 고객 배치 계획</x:v>
      </x:c>
      <x:c r="M88" s="45" t="str">
        <x:v>2026년 말 배치 계획은 기준일 운영 실적 아님</x:v>
      </x:c>
      <x:c r="N88" s="49" t="str"/>
      <x:c r="O88" s="45" t="str">
        <x:v>https://www.genesis.ai/</x:v>
      </x:c>
      <x:c r="P88" s="45" t="str">
        <x:v>조사 관련성 높음~85%; 사업 성공·투자 수익 확률 아님</x:v>
      </x:c>
    </x:row>
    <x:row r="89" ht="15" hidden="0" customHeight="1">
      <x:c r="A89" s="2"/>
      <x:c r="B89" s="2"/>
      <x:c r="C89" s="45" t="str">
        <x:v>UV065</x:v>
      </x:c>
      <x:c r="D89" s="45" t="str">
        <x:v>Hugging Face</x:v>
      </x:c>
      <x:c r="E89" s="45" t="str">
        <x:v>Hugging Face, Inc.</x:v>
      </x:c>
      <x:c r="F89" s="45" t="str">
        <x:v>미국·프랑스</x:v>
      </x:c>
      <x:c r="G89" s="45" t="str">
        <x:v>모델·데이터·시뮬레이션</x:v>
      </x:c>
      <x:c r="H89" s="45" t="str">
        <x:v>미검증</x:v>
      </x:c>
      <x:c r="I89" s="46" t="str">
        <x:v>미확인·해당 없음</x:v>
      </x:c>
      <x:c r="J89" s="45" t="str">
        <x:v>미확인·해당 없음</x:v>
      </x:c>
      <x:c r="K89" s="45" t="str">
        <x:v>공개 도구·모델 확인</x:v>
      </x:c>
      <x:c r="L89" s="45" t="str">
        <x:v>LeRobot 데이터·모방/RL 모델·도구</x:v>
      </x:c>
      <x:c r="M89" s="45" t="str">
        <x:v>LeRobot 커뮤니티와 법인 매출을 동일시하지 않음</x:v>
      </x:c>
      <x:c r="N89" s="49" t="str"/>
      <x:c r="O89" s="45" t="str">
        <x:v>https://huggingface.co/lerobot</x:v>
      </x:c>
      <x:c r="P89" s="45" t="str">
        <x:v>조사 관련성 높음~85%; 사업 성공·투자 수익 확률 아님</x:v>
      </x:c>
    </x:row>
    <x:row r="90" ht="24" hidden="0" customHeight="1">
      <x:c r="A90" s="2"/>
      <x:c r="B90" s="2"/>
      <x:c r="C90" s="45" t="str">
        <x:v>UV063</x:v>
      </x:c>
      <x:c r="D90" s="45" t="str">
        <x:v>Physical Intelligence</x:v>
      </x:c>
      <x:c r="E90" s="45" t="str">
        <x:v>Physical Intelligence</x:v>
      </x:c>
      <x:c r="F90" s="45" t="str">
        <x:v>미국</x:v>
      </x:c>
      <x:c r="G90" s="45" t="str">
        <x:v>모델·데이터·시뮬레이션</x:v>
      </x:c>
      <x:c r="H90" s="45" t="str">
        <x:v>상장완료 미확인; 기술 관찰군</x:v>
      </x:c>
      <x:c r="I90" s="46" t="str">
        <x:v>미확인·해당 없음</x:v>
      </x:c>
      <x:c r="J90" s="45" t="str">
        <x:v>미확인·해당 없음</x:v>
      </x:c>
      <x:c r="K90" s="45" t="str">
        <x:v>모델·파트너 발표 확인</x:v>
      </x:c>
      <x:c r="L90" s="45" t="str">
        <x:v>pi 모델군·다기체 학습·실제 작업 파트너</x:v>
      </x:c>
      <x:c r="M90" s="45" t="str">
        <x:v>논문 성능과 유료 구독 매출 구분</x:v>
      </x:c>
      <x:c r="N90" s="49" t="n">
        <x:v>46281</x:v>
      </x:c>
      <x:c r="O90" s="45" t="str">
        <x:v>https://www.pi.website/blog/partner
https://www.pi.website/</x:v>
      </x:c>
      <x:c r="P90" s="45" t="str">
        <x:v>조사 관련성 높음~85%; 사업 성공·투자 수익 확률 아님</x:v>
      </x:c>
    </x:row>
    <x:row r="91" ht="48" hidden="0" customHeight="1">
      <x:c r="A91" s="2"/>
      <x:c r="B91" s="2"/>
      <x:c r="C91" s="45" t="str">
        <x:v>UV095</x:v>
      </x:c>
      <x:c r="D91" s="45" t="str">
        <x:v>삼성전자</x:v>
      </x:c>
      <x:c r="E91" s="45" t="str">
        <x:v>Samsung Electronics Co., Ltd.</x:v>
      </x:c>
      <x:c r="F91" s="45" t="str">
        <x:v>한국</x:v>
      </x:c>
      <x:c r="G91" s="45" t="str">
        <x:v>모델·데이터·시뮬레이션
고객·사용자</x:v>
      </x:c>
      <x:c r="H91" s="45" t="str">
        <x:v>상장; 종목식별 Google Finance 교차확인</x:v>
      </x:c>
      <x:c r="I91" s="47" t="str">
        <x:v>005930</x:v>
      </x:c>
      <x:c r="J91" s="45" t="str">
        <x:v>KRX KOSPI</x:v>
      </x:c>
      <x:c r="K91" s="45" t="str">
        <x:v>자체 개발 또는 공시·고객·연구 원문으로 관계 확인</x:v>
      </x:c>
      <x:c r="L91" s="45" t="str">
        <x:v>레인보우지분확대·미래로봇개발·제조현장연계</x:v>
      </x:c>
      <x:c r="M91" s="45" t="str">
        <x:v>35%콜옵션취득계획과기업결합승인확인;전체전자·반도체매출을휴머노이드매출로간주하지않음</x:v>
      </x:c>
      <x:c r="N91" s="49" t="n">
        <x:v>46282</x:v>
      </x:c>
      <x:c r="O91" s="45" t="str">
        <x:v>https://news.samsung.com/global/samsung-electronics-to-become-largest-shareholder-in-rainbow-robotics-accelerating-future-robot-development
https://eiec.kdi.re.kr/policy/materialView.do?num=263955
https://www.google.com/finance/quote/005930:KRX</x:v>
      </x:c>
      <x:c r="P91" s="45" t="str">
        <x:v>조사 포함 근거 높음~90%; 주식 수익 또는 세계 순위의 확률 아님</x:v>
      </x:c>
    </x:row>
    <x:row r="92" ht="36" hidden="0" customHeight="1">
      <x:c r="A92" s="2"/>
      <x:c r="B92" s="2"/>
      <x:c r="C92" s="45" t="str">
        <x:v>UV066</x:v>
      </x:c>
      <x:c r="D92" s="45" t="str">
        <x:v>Siemens</x:v>
      </x:c>
      <x:c r="E92" s="45" t="str">
        <x:v>Siemens AG</x:v>
      </x:c>
      <x:c r="F92" s="45" t="str">
        <x:v>독일</x:v>
      </x:c>
      <x:c r="G92" s="45" t="str">
        <x:v>모델·데이터·시뮬레이션
제조·통합·정비
고객·사용자</x:v>
      </x:c>
      <x:c r="H92" s="45" t="str">
        <x:v>미검증</x:v>
      </x:c>
      <x:c r="I92" s="46" t="str">
        <x:v>미확인·해당 없음</x:v>
      </x:c>
      <x:c r="J92" s="45" t="str">
        <x:v>미확인·해당 없음</x:v>
      </x:c>
      <x:c r="K92" s="45" t="str">
        <x:v>고객 현장·통합 발표 확인</x:v>
      </x:c>
      <x:c r="L92" s="45" t="str">
        <x:v>Humanoid–NVIDIA 현장 통합 및 공장 소프트웨어</x:v>
      </x:c>
      <x:c r="M92" s="45" t="str">
        <x:v>Erlangen 시험과 반복 상업매출 구분</x:v>
      </x:c>
      <x:c r="N92" s="49" t="str"/>
      <x:c r="O92" s="45" t="str">
        <x:v>https://press.siemens.com/global/en/pressrelease/siemens-and-humanoid-bring-physical-ai-factory-floor-deploying-humanoids-industrial</x:v>
      </x:c>
      <x:c r="P92" s="45" t="str">
        <x:v>조사 관련성 높음~85%; 사업 성공·투자 수익 확률 아님</x:v>
      </x:c>
    </x:row>
    <x:row r="93" ht="15" hidden="0" customHeight="1">
      <x:c r="A93" s="2"/>
      <x:c r="B93" s="2"/>
      <x:c r="C93" s="45" t="str">
        <x:v>UV064</x:v>
      </x:c>
      <x:c r="D93" s="45" t="str">
        <x:v>Skild AI</x:v>
      </x:c>
      <x:c r="E93" s="45" t="str">
        <x:v>Skild AI</x:v>
      </x:c>
      <x:c r="F93" s="45" t="str">
        <x:v>미국</x:v>
      </x:c>
      <x:c r="G93" s="45" t="str">
        <x:v>모델·데이터·시뮬레이션</x:v>
      </x:c>
      <x:c r="H93" s="45" t="str">
        <x:v>미검증</x:v>
      </x:c>
      <x:c r="I93" s="46" t="str">
        <x:v>미확인·해당 없음</x:v>
      </x:c>
      <x:c r="J93" s="45" t="str">
        <x:v>미확인·해당 없음</x:v>
      </x:c>
      <x:c r="K93" s="45" t="str">
        <x:v>모델·응용 회사 설명</x:v>
      </x:c>
      <x:c r="L93" s="45" t="str">
        <x:v>다기체 공통 지능·모바일 조작·포장·검사</x:v>
      </x:c>
      <x:c r="M93" s="45" t="str">
        <x:v>영상 일반화가 현장 SLA를 입증하지 않음</x:v>
      </x:c>
      <x:c r="N93" s="49" t="str"/>
      <x:c r="O93" s="45" t="str">
        <x:v>https://www.skild.ai/</x:v>
      </x:c>
      <x:c r="P93" s="45" t="str">
        <x:v>조사 관련성 높음~85%; 사업 성공·투자 수익 확률 아님</x:v>
      </x:c>
    </x:row>
    <x:row r="94" ht="24" hidden="0" customHeight="1">
      <x:c r="A94" s="2"/>
      <x:c r="B94" s="2"/>
      <x:c r="C94" s="45" t="str">
        <x:v>UV074</x:v>
      </x:c>
      <x:c r="D94" s="45" t="str">
        <x:v>Accenture</x:v>
      </x:c>
      <x:c r="E94" s="45" t="str">
        <x:v>Accenture plc</x:v>
      </x:c>
      <x:c r="F94" s="45" t="str">
        <x:v>아일랜드 법인·글로벌</x:v>
      </x:c>
      <x:c r="G94" s="45" t="str">
        <x:v>제조·통합·정비
모델·데이터·시뮬레이션</x:v>
      </x:c>
      <x:c r="H94" s="45" t="str">
        <x:v>미검증</x:v>
      </x:c>
      <x:c r="I94" s="46" t="str">
        <x:v>미확인·해당 없음</x:v>
      </x:c>
      <x:c r="J94" s="45" t="str">
        <x:v>미확인·해당 없음</x:v>
      </x:c>
      <x:c r="K94" s="45" t="str">
        <x:v>현장 시험·투자 발표 확인</x:v>
      </x:c>
      <x:c r="L94" s="45" t="str">
        <x:v>Vodafone·SAP 창고 휴머노이드 실증 통합</x:v>
      </x:c>
      <x:c r="M94" s="45" t="str">
        <x:v>투자 지분 가치와 통합 수수료 구분</x:v>
      </x:c>
      <x:c r="N94" s="49" t="str"/>
      <x:c r="O94" s="45" t="str">
        <x:v>https://newsroom.accenture.com/news/2026/accenture-vodafone-procure-connect-and-sap-pilot-humanoid-robotics-in-warehouse-operations</x:v>
      </x:c>
      <x:c r="P94" s="45" t="str">
        <x:v>조사 관련성 높음~85%; 사업 성공·투자 수익 확률 아님</x:v>
      </x:c>
    </x:row>
    <x:row r="95" ht="24" hidden="0" customHeight="1">
      <x:c r="A95" s="2"/>
      <x:c r="B95" s="2"/>
      <x:c r="C95" s="45" t="str">
        <x:v>UV075</x:v>
      </x:c>
      <x:c r="D95" s="45" t="str">
        <x:v>Capgemini</x:v>
      </x:c>
      <x:c r="E95" s="45" t="str">
        <x:v>Capgemini SE</x:v>
      </x:c>
      <x:c r="F95" s="45" t="str">
        <x:v>프랑스</x:v>
      </x:c>
      <x:c r="G95" s="45" t="str">
        <x:v>제조·통합·정비
모델·데이터·시뮬레이션</x:v>
      </x:c>
      <x:c r="H95" s="45" t="str">
        <x:v>미검증</x:v>
      </x:c>
      <x:c r="I95" s="46" t="str">
        <x:v>미확인·해당 없음</x:v>
      </x:c>
      <x:c r="J95" s="45" t="str">
        <x:v>미확인·해당 없음</x:v>
      </x:c>
      <x:c r="K95" s="45" t="str">
        <x:v>고객 공동발표 확인</x:v>
      </x:c>
      <x:c r="L95" s="45" t="str">
        <x:v>Orano Hoxo 핵산업 현장 통합</x:v>
      </x:c>
      <x:c r="M95" s="45" t="str">
        <x:v>현장별 안전·통합 범위를 별도 확인</x:v>
      </x:c>
      <x:c r="N95" s="49" t="str"/>
      <x:c r="O95" s="45" t="str">
        <x:v>https://www.capgemini.com/news/press-releases/capgemini-and-orano-deploy-the-first-intelligent-humanoid-robot-in-the-nuclear-sector/</x:v>
      </x:c>
      <x:c r="P95" s="45" t="str">
        <x:v>조사 관련성 높음~85%; 사업 성공·투자 수익 확률 아님</x:v>
      </x:c>
    </x:row>
    <x:row r="96" ht="24" hidden="0" customHeight="1">
      <x:c r="A96" s="2"/>
      <x:c r="B96" s="2"/>
      <x:c r="C96" s="45" t="str">
        <x:v>UV072</x:v>
      </x:c>
      <x:c r="D96" s="45" t="str">
        <x:v>Flex</x:v>
      </x:c>
      <x:c r="E96" s="45" t="str">
        <x:v>Flex Ltd.</x:v>
      </x:c>
      <x:c r="F96" s="45" t="str">
        <x:v>미국 사업·싱가포르 법인</x:v>
      </x:c>
      <x:c r="G96" s="45" t="str">
        <x:v>제조·통합·정비
대체 자동화</x:v>
      </x:c>
      <x:c r="H96" s="45" t="str">
        <x:v>미검증</x:v>
      </x:c>
      <x:c r="I96" s="46" t="str">
        <x:v>미확인·해당 없음</x:v>
      </x:c>
      <x:c r="J96" s="45" t="str">
        <x:v>미확인·해당 없음</x:v>
      </x:c>
      <x:c r="K96" s="45" t="str">
        <x:v>기술 인접·기존 자동화</x:v>
      </x:c>
      <x:c r="L96" s="45" t="str">
        <x:v>위탁 제조·협동로봇·AMR·검사 통합</x:v>
      </x:c>
      <x:c r="M96" s="45" t="str">
        <x:v>휴머노이드 특정 제조 계약 미확인</x:v>
      </x:c>
      <x:c r="N96" s="49" t="str"/>
      <x:c r="O96" s="45" t="str">
        <x:v>https://flex.com/resources/elevate-product-quality-and-efficiency-with-leading-automation-and-robotics-solutions</x:v>
      </x:c>
      <x:c r="P96" s="45" t="str">
        <x:v>조사 관련성 중간~70%; 사업 성공·투자 수익 확률 아님</x:v>
      </x:c>
    </x:row>
    <x:row r="97" ht="24" hidden="0" customHeight="1">
      <x:c r="A97" s="2"/>
      <x:c r="B97" s="2"/>
      <x:c r="C97" s="45" t="str">
        <x:v>UV071</x:v>
      </x:c>
      <x:c r="D97" s="45" t="str">
        <x:v>Foxconn</x:v>
      </x:c>
      <x:c r="E97" s="45" t="str">
        <x:v>Hon Hai Precision Industry Co., Ltd.</x:v>
      </x:c>
      <x:c r="F97" s="45" t="str">
        <x:v>대만</x:v>
      </x:c>
      <x:c r="G97" s="45" t="str">
        <x:v>제조·통합·정비
고객·사용자</x:v>
      </x:c>
      <x:c r="H97" s="45" t="str">
        <x:v>미검증</x:v>
      </x:c>
      <x:c r="I97" s="46" t="str">
        <x:v>미확인·해당 없음</x:v>
      </x:c>
      <x:c r="J97" s="45" t="str">
        <x:v>미확인·해당 없음</x:v>
      </x:c>
      <x:c r="K97" s="45" t="str">
        <x:v>파트너 회사 협력 설명</x:v>
      </x:c>
      <x:c r="L97" s="45" t="str">
        <x:v>UBTECH 산업 적용·전자 제조 기반</x:v>
      </x:c>
      <x:c r="M97" s="45" t="str">
        <x:v>Foxconn·Hon Hai 한 행; 공장 실증을 양산계약으로 확대하지 않음</x:v>
      </x:c>
      <x:c r="N97" s="49" t="str"/>
      <x:c r="O97" s="45" t="str">
        <x:v>https://www.ubtrobot.com/en/humanoid/solutions/industry</x:v>
      </x:c>
      <x:c r="P97" s="45" t="str">
        <x:v>조사 관련성 높음~85%; 사업 성공·투자 수익 확률 아님</x:v>
      </x:c>
    </x:row>
    <x:row r="98" ht="24" hidden="0" customHeight="1">
      <x:c r="A98" s="2"/>
      <x:c r="B98" s="2"/>
      <x:c r="C98" s="45" t="str">
        <x:v>UV070</x:v>
      </x:c>
      <x:c r="D98" s="45" t="str">
        <x:v>Jabil</x:v>
      </x:c>
      <x:c r="E98" s="45" t="str">
        <x:v>Jabil Inc.</x:v>
      </x:c>
      <x:c r="F98" s="45" t="str">
        <x:v>미국</x:v>
      </x:c>
      <x:c r="G98" s="45" t="str">
        <x:v>제조·통합·정비
고객·사용자</x:v>
      </x:c>
      <x:c r="H98" s="45" t="str">
        <x:v>상장</x:v>
      </x:c>
      <x:c r="I98" s="46" t="str">
        <x:v>JBL</x:v>
      </x:c>
      <x:c r="J98" s="45" t="str">
        <x:v>NYSE</x:v>
      </x:c>
      <x:c r="K98" s="45" t="str">
        <x:v>제조·도입 협력 발표 확인</x:v>
      </x:c>
      <x:c r="L98" s="45" t="str">
        <x:v>Apollo 제조·자사 공장 적용</x:v>
      </x:c>
      <x:c r="M98" s="45" t="str">
        <x:v>부품 조달 통과매출과 부가가치 구분</x:v>
      </x:c>
      <x:c r="N98" s="49" t="n">
        <x:v>46281</x:v>
      </x:c>
      <x:c r="O98" s="45" t="str">
        <x:v>https://apptronik.com/news-collection/apptronik-and-jabil-collaborate-to-scale-production
https://investors.jabil.com/overview/default.aspx</x:v>
      </x:c>
      <x:c r="P98" s="45" t="str">
        <x:v>조사 관련성 높음~85%; 사업 성공·투자 수익 확률 아님</x:v>
      </x:c>
    </x:row>
    <x:row r="99" ht="24" hidden="0" customHeight="1">
      <x:c r="A99" s="2"/>
      <x:c r="B99" s="2"/>
      <x:c r="C99" s="45" t="str">
        <x:v>UV073</x:v>
      </x:c>
      <x:c r="D99" s="45" t="str">
        <x:v>Bosch</x:v>
      </x:c>
      <x:c r="E99" s="45" t="str">
        <x:v>Robert Bosch GmbH</x:v>
      </x:c>
      <x:c r="F99" s="45" t="str">
        <x:v>독일</x:v>
      </x:c>
      <x:c r="G99" s="45" t="str">
        <x:v>제조·통합·정비
고객·사용자</x:v>
      </x:c>
      <x:c r="H99" s="45" t="str">
        <x:v>미검증</x:v>
      </x:c>
      <x:c r="I99" s="46" t="str">
        <x:v>미확인·해당 없음</x:v>
      </x:c>
      <x:c r="J99" s="45" t="str">
        <x:v>미확인·해당 없음</x:v>
      </x:c>
      <x:c r="K99" s="45" t="str">
        <x:v>파트너십 발표 확인</x:v>
      </x:c>
      <x:c r="L99" s="45" t="str">
        <x:v>Humanoid 제조·NEURA 작업데이터 협력</x:v>
      </x:c>
      <x:c r="M99" s="45" t="str">
        <x:v>개별 계약의 최소 물량·원가 보증 미확인</x:v>
      </x:c>
      <x:c r="N99" s="49" t="str"/>
      <x:c r="O99" s="45" t="str">
        <x:v>https://thehumanoid.ai/</x:v>
      </x:c>
      <x:c r="P99" s="45" t="str">
        <x:v>조사 관련성 높음~85%; 사업 성공·투자 수익 확률 아님</x:v>
      </x:c>
    </x:row>
    <x:row r="100" ht="36" hidden="0" customHeight="1">
      <x:c r="A100" s="2"/>
      <x:c r="B100" s="2"/>
      <x:c r="C100" s="45" t="str">
        <x:v>UV079</x:v>
      </x:c>
      <x:c r="D100" s="45" t="str">
        <x:v>Amazon</x:v>
      </x:c>
      <x:c r="E100" s="45" t="str">
        <x:v>Amazon.com, Inc.</x:v>
      </x:c>
      <x:c r="F100" s="45" t="str">
        <x:v>미국</x:v>
      </x:c>
      <x:c r="G100" s="45" t="str">
        <x:v>고객·사용자
모델·데이터·시뮬레이션
대체 자동화</x:v>
      </x:c>
      <x:c r="H100" s="45" t="str">
        <x:v>상장</x:v>
      </x:c>
      <x:c r="I100" s="46" t="str">
        <x:v>AMZN</x:v>
      </x:c>
      <x:c r="J100" s="45" t="str">
        <x:v>NASDAQ</x:v>
      </x:c>
      <x:c r="K100" s="45" t="str">
        <x:v>고객 시험 직접 발표</x:v>
      </x:c>
      <x:c r="L100" s="45" t="str">
        <x:v>Digit 시험·기존 로봇 자동화 대안</x:v>
      </x:c>
      <x:c r="M100" s="45" t="str">
        <x:v>전체 로봇 대수를 휴머노이드 대수로 계산하지 않음</x:v>
      </x:c>
      <x:c r="N100" s="49" t="n">
        <x:v>46281</x:v>
      </x:c>
      <x:c r="O100" s="45" t="str">
        <x:v>https://www.aboutamazon.com/news/operations/amazon-introduces-new-robotics-solutions
https://ir.aboutamazon.com/news-release/news-release-details/2026/Amazon-com-Announces-Second-Quarter-Results/</x:v>
      </x:c>
      <x:c r="P100" s="45" t="str">
        <x:v>조사 관련성 높음~85%; 사업 성공·투자 수익 확률 아님</x:v>
      </x:c>
    </x:row>
    <x:row r="101" ht="36" hidden="0" customHeight="1">
      <x:c r="A101" s="2"/>
      <x:c r="B101" s="2"/>
      <x:c r="C101" s="45" t="str">
        <x:v>UV076</x:v>
      </x:c>
      <x:c r="D101" s="45" t="str">
        <x:v>BMW</x:v>
      </x:c>
      <x:c r="E101" s="45" t="str">
        <x:v>Bayerische Motoren Werke AG</x:v>
      </x:c>
      <x:c r="F101" s="45" t="str">
        <x:v>독일</x:v>
      </x:c>
      <x:c r="G101" s="45" t="str">
        <x:v>고객·사용자</x:v>
      </x:c>
      <x:c r="H101" s="45" t="str">
        <x:v>상장; 우선주 2026-06-30 거래종료 후 보통주 전환</x:v>
      </x:c>
      <x:c r="I101" s="46" t="str">
        <x:v>BMW</x:v>
      </x:c>
      <x:c r="J101" s="45" t="str">
        <x:v>프랑크푸르트 / 뮌헨</x:v>
      </x:c>
      <x:c r="K101" s="45" t="str">
        <x:v>고객 직접 발표</x:v>
      </x:c>
      <x:c r="L101" s="45" t="str">
        <x:v>Figure·Hexagon 생산현장 사례</x:v>
      </x:c>
      <x:c r="M101" s="45" t="str">
        <x:v>수행 차량 수는 로봇 판매 수량 아님</x:v>
      </x:c>
      <x:c r="N101" s="49" t="n">
        <x:v>46281</x:v>
      </x:c>
      <x:c r="O101" s="45" t="str">
        <x:v>https://www.press.bmwgroup.com/global/article/detail/T0455864EN/bmw-group-to-deploy-humanoid-robots-in-production-in-germany-for-the-first-time?language=en
https://www.bmwgroup.com/en/investor-relations/bmw-shares.html</x:v>
      </x:c>
      <x:c r="P101" s="45" t="str">
        <x:v>조사 관련성 높음~85%; 사업 성공·투자 수익 확률 아님</x:v>
      </x:c>
    </x:row>
    <x:row r="102" ht="15" hidden="0" customHeight="1">
      <x:c r="A102" s="2"/>
      <x:c r="B102" s="2"/>
      <x:c r="C102" s="45" t="str">
        <x:v>UV081</x:v>
      </x:c>
      <x:c r="D102" s="45" t="str">
        <x:v>BYD</x:v>
      </x:c>
      <x:c r="E102" s="45" t="str">
        <x:v>BYD Company Limited</x:v>
      </x:c>
      <x:c r="F102" s="45" t="str">
        <x:v>중국</x:v>
      </x:c>
      <x:c r="G102" s="45" t="str">
        <x:v>고객·사용자</x:v>
      </x:c>
      <x:c r="H102" s="45" t="str">
        <x:v>미검증</x:v>
      </x:c>
      <x:c r="I102" s="46" t="str">
        <x:v>미확인·해당 없음</x:v>
      </x:c>
      <x:c r="J102" s="45" t="str">
        <x:v>미확인·해당 없음</x:v>
      </x:c>
      <x:c r="K102" s="45" t="str">
        <x:v>로봇 제조사 적용 주장</x:v>
      </x:c>
      <x:c r="L102" s="45" t="str">
        <x:v>Walker 공장 취급·물류 적용</x:v>
      </x:c>
      <x:c r="M102" s="45" t="str">
        <x:v>고객 직접 경제성·매출 인식 미확인</x:v>
      </x:c>
      <x:c r="N102" s="49" t="str"/>
      <x:c r="O102" s="45" t="str">
        <x:v>https://www.ubtrobot.com/en/humanoid/solutions/industry</x:v>
      </x:c>
      <x:c r="P102" s="45" t="str">
        <x:v>조사 관련성 높음~85%; 사업 성공·투자 수익 확률 아님</x:v>
      </x:c>
    </x:row>
    <x:row r="103" ht="24" hidden="0" customHeight="1">
      <x:c r="A103" s="2"/>
      <x:c r="B103" s="2"/>
      <x:c r="C103" s="45" t="str">
        <x:v>UV080</x:v>
      </x:c>
      <x:c r="D103" s="45" t="str">
        <x:v>DHL Group</x:v>
      </x:c>
      <x:c r="E103" s="45" t="str">
        <x:v>Deutsche Post AG / DHL Group</x:v>
      </x:c>
      <x:c r="F103" s="45" t="str">
        <x:v>독일</x:v>
      </x:c>
      <x:c r="G103" s="45" t="str">
        <x:v>고객·사용자
대체 자동화</x:v>
      </x:c>
      <x:c r="H103" s="45" t="str">
        <x:v>미검증</x:v>
      </x:c>
      <x:c r="I103" s="46" t="str">
        <x:v>미확인·해당 없음</x:v>
      </x:c>
      <x:c r="J103" s="45" t="str">
        <x:v>미확인·해당 없음</x:v>
      </x:c>
      <x:c r="K103" s="45" t="str">
        <x:v>기존 자동화 고객 비교</x:v>
      </x:c>
      <x:c r="L103" s="45" t="str">
        <x:v>Stretch·모바일 로봇 물류 적용</x:v>
      </x:c>
      <x:c r="M103" s="45" t="str">
        <x:v>이 행은 대안 자동화 수요자; 휴머노이드 유상고객 확정 아님</x:v>
      </x:c>
      <x:c r="N103" s="49" t="str"/>
      <x:c r="O103" s="45" t="str">
        <x:v>https://www.dhl.com/</x:v>
      </x:c>
      <x:c r="P103" s="45" t="str">
        <x:v>조사 관련성 높음~85%; 사업 성공·투자 수익 확률 아님</x:v>
      </x:c>
    </x:row>
    <x:row r="104" ht="15" hidden="0" customHeight="1">
      <x:c r="A104" s="2"/>
      <x:c r="B104" s="2"/>
      <x:c r="C104" s="45" t="str">
        <x:v>UV082</x:v>
      </x:c>
      <x:c r="D104" s="45" t="str">
        <x:v>Geely</x:v>
      </x:c>
      <x:c r="E104" s="45" t="str">
        <x:v>Geely 제조 현장 / 대상 법인 확인 필요</x:v>
      </x:c>
      <x:c r="F104" s="45" t="str">
        <x:v>중국</x:v>
      </x:c>
      <x:c r="G104" s="45" t="str">
        <x:v>고객·사용자</x:v>
      </x:c>
      <x:c r="H104" s="45" t="str">
        <x:v>미검증</x:v>
      </x:c>
      <x:c r="I104" s="46" t="str">
        <x:v>미확인·해당 없음</x:v>
      </x:c>
      <x:c r="J104" s="45" t="str">
        <x:v>미확인·해당 없음</x:v>
      </x:c>
      <x:c r="K104" s="45" t="str">
        <x:v>로봇 제조사 적용 주장</x:v>
      </x:c>
      <x:c r="L104" s="45" t="str">
        <x:v>자동차 제조 현장 Walker 사례</x:v>
      </x:c>
      <x:c r="M104" s="45" t="str">
        <x:v>Geely Holding과 상장 Geely Auto의 노출 혼동 금지</x:v>
      </x:c>
      <x:c r="N104" s="49" t="str"/>
      <x:c r="O104" s="45" t="str">
        <x:v>https://www.ubtrobot.com/en/humanoid/solutions/industry</x:v>
      </x:c>
      <x:c r="P104" s="45" t="str">
        <x:v>조사 관련성 높음~85%; 사업 성공·투자 수익 확률 아님</x:v>
      </x:c>
    </x:row>
    <x:row r="105" ht="15" hidden="0" customHeight="1">
      <x:c r="A105" s="2"/>
      <x:c r="B105" s="2"/>
      <x:c r="C105" s="45" t="str">
        <x:v>UV078</x:v>
      </x:c>
      <x:c r="D105" s="45" t="str">
        <x:v>GXO Logistics</x:v>
      </x:c>
      <x:c r="E105" s="45" t="str">
        <x:v>GXO Logistics, Inc.</x:v>
      </x:c>
      <x:c r="F105" s="45" t="str">
        <x:v>미국</x:v>
      </x:c>
      <x:c r="G105" s="45" t="str">
        <x:v>고객·사용자</x:v>
      </x:c>
      <x:c r="H105" s="45" t="str">
        <x:v>상장</x:v>
      </x:c>
      <x:c r="I105" s="46" t="str">
        <x:v>GXO</x:v>
      </x:c>
      <x:c r="J105" s="45" t="str">
        <x:v>NYSE</x:v>
      </x:c>
      <x:c r="K105" s="45" t="str">
        <x:v>고객 상업계약 직접 발표</x:v>
      </x:c>
      <x:c r="L105" s="45" t="str">
        <x:v>Digit 다년 RaaS</x:v>
      </x:c>
      <x:c r="M105" s="45" t="str">
        <x:v>고객 비용절감과 공급사 수익성을 별도 계산</x:v>
      </x:c>
      <x:c r="N105" s="49" t="n">
        <x:v>46281</x:v>
      </x:c>
      <x:c r="O105" s="45" t="str">
        <x:v>https://investors.gxo.com/news-releases/news-release-details/gxo-signs-industry-first-multi-year-agreement-agility-robotics</x:v>
      </x:c>
      <x:c r="P105" s="45" t="str">
        <x:v>조사 관련성 높음~85%; 사업 성공·투자 수익 확률 아님</x:v>
      </x:c>
    </x:row>
    <x:row r="106" ht="36" hidden="0" customHeight="1">
      <x:c r="A106" s="2"/>
      <x:c r="B106" s="2"/>
      <x:c r="C106" s="45" t="str">
        <x:v>UV094</x:v>
      </x:c>
      <x:c r="D106" s="45" t="str">
        <x:v>현대자동차</x:v>
      </x:c>
      <x:c r="E106" s="45" t="str">
        <x:v>Hyundai Motor Company</x:v>
      </x:c>
      <x:c r="F106" s="45" t="str">
        <x:v>한국</x:v>
      </x:c>
      <x:c r="G106" s="45" t="str">
        <x:v>고객·사용자
제조·통합·정비</x:v>
      </x:c>
      <x:c r="H106" s="45" t="str">
        <x:v>상장; 종목식별 Google Finance 교차확인</x:v>
      </x:c>
      <x:c r="I106" s="47" t="str">
        <x:v>005380</x:v>
      </x:c>
      <x:c r="J106" s="45" t="str">
        <x:v>KRX KOSPI</x:v>
      </x:c>
      <x:c r="K106" s="45" t="str">
        <x:v>자체 개발 또는 공시·고객·연구 원문으로 관계 확인</x:v>
      </x:c>
      <x:c r="L106" s="45" t="str">
        <x:v>그룹차원의BostonDynamics소유·제조·Atlas현장연결;개별상장법인노출은별도</x:v>
      </x:c>
      <x:c r="M106" s="45" t="str">
        <x:v>현대차그룹과동일법인이아님;최종실질BostonDynamics지분율미확인,숫자미기재</x:v>
      </x:c>
      <x:c r="N106" s="49" t="n">
        <x:v>46282</x:v>
      </x:c>
      <x:c r="O106" s="45" t="str">
        <x:v>https://bostondynamics.com/news/hyundai-motor-group-completes-acquisition-of-boston-dynamics-from-softbank/
https://www.hyundai.com/worldwide/en/newsroom/detail/0000001225
https://www.google.com/finance/quote/005380:KRX</x:v>
      </x:c>
      <x:c r="P106" s="45" t="str">
        <x:v>조사 포함 근거 높음~90%; 주식 수익 또는 세계 순위의 확률 아님</x:v>
      </x:c>
    </x:row>
    <x:row r="107" ht="36" hidden="0" customHeight="1">
      <x:c r="A107" s="2"/>
      <x:c r="B107" s="2"/>
      <x:c r="C107" s="45" t="str">
        <x:v>UV077</x:v>
      </x:c>
      <x:c r="D107" s="45" t="str">
        <x:v>Mercedes-Benz Group</x:v>
      </x:c>
      <x:c r="E107" s="45" t="str">
        <x:v>Mercedes-Benz Group AG</x:v>
      </x:c>
      <x:c r="F107" s="45" t="str">
        <x:v>독일</x:v>
      </x:c>
      <x:c r="G107" s="45" t="str">
        <x:v>고객·사용자</x:v>
      </x:c>
      <x:c r="H107" s="45" t="str">
        <x:v>상장</x:v>
      </x:c>
      <x:c r="I107" s="46" t="str">
        <x:v>MBG</x:v>
      </x:c>
      <x:c r="J107" s="45" t="str">
        <x:v>프랑크푸르트 / 슈투트가르트</x:v>
      </x:c>
      <x:c r="K107" s="45" t="str">
        <x:v>고객·파트너 발표</x:v>
      </x:c>
      <x:c r="L107" s="45" t="str">
        <x:v>Apollo 제조 현장 시험</x:v>
      </x:c>
      <x:c r="M107" s="45" t="str">
        <x:v>투자와 구매 계약을 구분</x:v>
      </x:c>
      <x:c r="N107" s="49" t="n">
        <x:v>46281</x:v>
      </x:c>
      <x:c r="O107" s="45" t="str">
        <x:v>https://apptronik.com/news-collection/apptronik-and-jabil-collaborate-to-scale-production
https://group.mercedes-benz.com/investors/share/
https://apptronik.com/news-collection/apptronik-closes-over-935-million-series-a</x:v>
      </x:c>
      <x:c r="P107" s="45" t="str">
        <x:v>조사 관련성 높음~85%; 사업 성공·투자 수익 확률 아님</x:v>
      </x:c>
    </x:row>
    <x:row r="108" ht="24" hidden="0" customHeight="1">
      <x:c r="A108" s="2"/>
      <x:c r="B108" s="2"/>
      <x:c r="C108" s="45" t="str">
        <x:v>UV084</x:v>
      </x:c>
      <x:c r="D108" s="45" t="str">
        <x:v>Orano</x:v>
      </x:c>
      <x:c r="E108" s="45" t="str">
        <x:v>Orano</x:v>
      </x:c>
      <x:c r="F108" s="45" t="str">
        <x:v>프랑스</x:v>
      </x:c>
      <x:c r="G108" s="45" t="str">
        <x:v>고객·사용자</x:v>
      </x:c>
      <x:c r="H108" s="45" t="str">
        <x:v>미검증</x:v>
      </x:c>
      <x:c r="I108" s="46" t="str">
        <x:v>미확인·해당 없음</x:v>
      </x:c>
      <x:c r="J108" s="45" t="str">
        <x:v>미확인·해당 없음</x:v>
      </x:c>
      <x:c r="K108" s="45" t="str">
        <x:v>공동발표 확인</x:v>
      </x:c>
      <x:c r="L108" s="45" t="str">
        <x:v>Capgemini와 Hoxo 핵산업 적용</x:v>
      </x:c>
      <x:c r="M108" s="45" t="str">
        <x:v>방사선·원격지원·안전 조건이 일반 공장과 다름</x:v>
      </x:c>
      <x:c r="N108" s="49" t="str"/>
      <x:c r="O108" s="45" t="str">
        <x:v>https://www.capgemini.com/news/press-releases/capgemini-and-orano-deploy-the-first-intelligent-humanoid-robot-in-the-nuclear-sector/</x:v>
      </x:c>
      <x:c r="P108" s="45" t="str">
        <x:v>조사 관련성 높음~85%; 사업 성공·투자 수익 확률 아님</x:v>
      </x:c>
    </x:row>
    <x:row r="109" ht="24" hidden="0" customHeight="1">
      <x:c r="A109" s="2"/>
      <x:c r="B109" s="2"/>
      <x:c r="C109" s="45" t="str">
        <x:v>UV083</x:v>
      </x:c>
      <x:c r="D109" s="45" t="str">
        <x:v>Longcheer</x:v>
      </x:c>
      <x:c r="E109" s="45" t="str">
        <x:v>Shanghai Longcheer Technology Co., Ltd.</x:v>
      </x:c>
      <x:c r="F109" s="45" t="str">
        <x:v>중국</x:v>
      </x:c>
      <x:c r="G109" s="45" t="str">
        <x:v>고객·사용자</x:v>
      </x:c>
      <x:c r="H109" s="45" t="str">
        <x:v>미검증</x:v>
      </x:c>
      <x:c r="I109" s="46" t="str">
        <x:v>미확인·해당 없음</x:v>
      </x:c>
      <x:c r="J109" s="45" t="str">
        <x:v>미확인·해당 없음</x:v>
      </x:c>
      <x:c r="K109" s="45" t="str">
        <x:v>실제 공장 작업에 관한 로봇 제조사 발표 확인</x:v>
      </x:c>
      <x:c r="L109" s="45" t="str">
        <x:v>AGIBOT 태블릿 생산라인 실증</x:v>
      </x:c>
      <x:c r="M109" s="45" t="str">
        <x:v>현장 작업과 KPI는 AGIBOT 발표. Longcheer 홈페이지 자체를 독립 고객 확인이나 감사의 근거로 해석하지 않음. 고객별 유상 계약·검수·경제성 미확인.</x:v>
      </x:c>
      <x:c r="N109" s="49" t="str"/>
      <x:c r="O109" s="45" t="str">
        <x:v>https://www.agibot.com/article/231/detail/83.html
https://www.longcheer.com/</x:v>
      </x:c>
      <x:c r="P109" s="45" t="str">
        <x:v>조사 관련성 높음~85%; 사업 성공·투자 수익 확률 아님</x:v>
      </x:c>
    </x:row>
    <x:row r="110" ht="36" hidden="0" customHeight="1">
      <x:c r="A110" s="2"/>
      <x:c r="B110" s="2"/>
      <x:c r="C110" s="45" t="str">
        <x:v>UV101</x:v>
      </x:c>
      <x:c r="D110" s="45" t="str">
        <x:v>Wonik Holdings</x:v>
      </x:c>
      <x:c r="E110" s="45" t="str">
        <x:v>WONIK HOLDINGS CO., LTD.</x:v>
      </x:c>
      <x:c r="F110" s="45" t="str">
        <x:v>한국</x:v>
      </x:c>
      <x:c r="G110" s="45" t="str">
        <x:v>투자·지주회사</x:v>
      </x:c>
      <x:c r="H110" s="45" t="str">
        <x:v>상장</x:v>
      </x:c>
      <x:c r="I110" s="47" t="str">
        <x:v>030530</x:v>
      </x:c>
      <x:c r="J110" s="45" t="str">
        <x:v>KRX KOSDAQ</x:v>
      </x:c>
      <x:c r="K110" s="45" t="str">
        <x:v>상장 모회사 간접 노출</x:v>
      </x:c>
      <x:c r="L110" s="45" t="str">
        <x:v>Wonik Robotics 2025말96.66%지분; 신규CPS투자계획별도</x:v>
      </x:c>
      <x:c r="M110" s="45" t="str">
        <x:v>원익로보틱스와동일법인아님;기존반도체·가스사업포함</x:v>
      </x:c>
      <x:c r="N110" s="49" t="n">
        <x:v>46282</x:v>
      </x:c>
      <x:c r="O110" s="45" t="str">
        <x:v>https://www.wonikholdings.kr/ir_04.do
https://www.wonikholdings.kr/ir_01_Detail.do?no_no=34&amp;page=1
https://www.fsc.go.kr/no010101/87609</x:v>
      </x:c>
      <x:c r="P110" s="45" t="str">
        <x:v>높음~85%; 조사 관련성의 주관적 판단이며 투자수익 확률 아님</x:v>
      </x:c>
    </x:row>
  </x:sheetData>
  <x:pageMargins left="0.7" right="0.7" top="0.75" bottom="0.75" header="0.3" footer="0.3"/>
  <x:tableParts count="1">
    <x:tablePart xmlns:r="http://schemas.openxmlformats.org/officeDocument/2006/relationships" r:id="R22ebbf29c49041e4"/>
  </x:tableParts>
</x:worksheet>
</file>

<file path=xl/worksheets/sheet8.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2" hidden="0" customWidth="1"/>
    <x:col min="2" max="2" width="2" hidden="0" customWidth="1"/>
    <x:col min="3" max="3" width="27" hidden="0" customWidth="1"/>
    <x:col min="4" max="4" width="18" hidden="0" customWidth="1"/>
    <x:col min="5" max="5" width="39" hidden="0" customWidth="1"/>
    <x:col min="6" max="6" width="52" hidden="0" customWidth="1"/>
    <x:col min="7" max="7" width="60" hidden="0" customWidth="1"/>
    <x:col min="8" max="8" width="64" hidden="0" customWidth="1"/>
    <x:col min="9" max="9" width="83" hidden="0" customWidth="1"/>
    <x:col min="10" max="10" width="74" hidden="0" customWidth="1"/>
    <x:col min="11" max="11" width="92" hidden="0" customWidth="1"/>
  </x:cols>
  <x:sheetData>
    <x:row r="1" ht="24" customHeight="1">
      <x:c r="A1" s="2"/>
      <x:c r="B1" s="2"/>
      <x:c r="C1" s="2"/>
      <x:c r="D1" s="2"/>
      <x:c r="E1" s="2"/>
      <x:c r="F1" s="2"/>
      <x:c r="G1" s="2"/>
      <x:c r="H1" s="2"/>
      <x:c r="I1" s="2"/>
      <x:c r="J1" s="2"/>
      <x:c r="K1" s="2"/>
    </x:row>
    <x:row r="2" ht="24" customHeight="1">
      <x:c r="A2" s="2"/>
      <x:c r="B2" s="2"/>
      <x:c r="C2" s="3" t="str">
        <x:v>상용화사례</x:v>
      </x:c>
      <x:c r="D2" s="3"/>
      <x:c r="E2" s="3"/>
      <x:c r="F2" s="3"/>
      <x:c r="G2" s="3"/>
      <x:c r="H2" s="3"/>
      <x:c r="I2" s="3"/>
      <x:c r="J2" s="3"/>
      <x:c r="K2" s="3"/>
    </x:row>
    <x:row r="3" ht="24" customHeight="1">
      <x:c r="A3" s="2"/>
      <x:c r="B3" s="2"/>
      <x:c r="C3" s="2"/>
      <x:c r="D3" s="2"/>
      <x:c r="E3" s="2"/>
      <x:c r="F3" s="2"/>
      <x:c r="G3" s="2"/>
      <x:c r="H3" s="2"/>
      <x:c r="I3" s="2"/>
      <x:c r="J3" s="2"/>
      <x:c r="K3" s="2"/>
    </x:row>
    <x:row r="4" ht="24" customHeight="1">
      <x:c r="A4" s="2"/>
      <x:c r="B4" s="2"/>
      <x:c r="C4" s="4" t="str">
        <x:v>세계 사례 17개. 현장 시험·반복 운영과 유상 실증·주문·납품·매출·재주문을 각각 판독합니다.</x:v>
      </x:c>
      <x:c r="D4" s="2"/>
      <x:c r="E4" s="2"/>
      <x:c r="F4" s="2"/>
      <x:c r="G4" s="2"/>
      <x:c r="H4" s="2"/>
      <x:c r="I4" s="2"/>
      <x:c r="J4" s="2"/>
      <x:c r="K4" s="2"/>
    </x:row>
    <x:row r="5" ht="24" customHeight="1">
      <x:c r="A5" s="2"/>
      <x:c r="B5" s="2"/>
      <x:c r="C5" s="2"/>
      <x:c r="D5" s="2"/>
      <x:c r="E5" s="2"/>
      <x:c r="F5" s="2"/>
      <x:c r="G5" s="2"/>
      <x:c r="H5" s="2"/>
      <x:c r="I5" s="2"/>
      <x:c r="J5" s="2"/>
      <x:c r="K5" s="2"/>
    </x:row>
    <x:row r="6" ht="34" customHeight="1">
      <x:c r="A6" s="2"/>
      <x:c r="B6" s="2"/>
      <x:c r="C6" s="8" t="str">
        <x:v>기업</x:v>
      </x:c>
      <x:c r="D6" s="8" t="str">
        <x:v>지역</x:v>
      </x:c>
      <x:c r="E6" s="8" t="str">
        <x:v>형태</x:v>
      </x:c>
      <x:c r="F6" s="8" t="str">
        <x:v>사용 업무</x:v>
      </x:c>
      <x:c r="G6" s="8" t="str">
        <x:v>기술·운영 성숙도</x:v>
      </x:c>
      <x:c r="H6" s="8" t="str">
        <x:v>계약·재무 성숙도</x:v>
      </x:c>
      <x:c r="I6" s="8" t="str">
        <x:v>확인 근거</x:v>
      </x:c>
      <x:c r="J6" s="8" t="str">
        <x:v>검증 공백</x:v>
      </x:c>
      <x:c r="K6" s="8" t="str">
        <x:v>원문 URL</x:v>
      </x:c>
    </x:row>
    <x:row r="7" ht="48" hidden="0" customHeight="1">
      <x:c r="A7" s="2"/>
      <x:c r="B7" s="2"/>
      <x:c r="C7" s="45" t="str">
        <x:v>Tesla Optimus</x:v>
      </x:c>
      <x:c r="D7" s="45" t="str">
        <x:v>미국</x:v>
      </x:c>
      <x:c r="E7" s="45" t="str">
        <x:v>이족형 양팔</x:v>
      </x:c>
      <x:c r="F7" s="45" t="str">
        <x:v>범용 작업·초기 훈련 데이터 수집</x:v>
      </x:c>
      <x:c r="G7" s="45" t="str">
        <x:v>개발·생산라인 구축. Q2공시: California/Texas Construction, 초기 기체 Optimus Academy 훈련용. 외부 고객 장기 반복 운영 미확인.</x:v>
      </x:c>
      <x:c r="H7" s="45" t="str">
        <x:v>외부 유상실증·확정주문·유상납품·Optimus 별도 매출·재주문 미확인. 2026 생산은 전망.</x:v>
      </x:c>
      <x:c r="I7" s="45" t="str">
        <x:v>2026년 2분기 IR 원본 6쪽 생산라인 설치와 초기 훈련용 생산 설명
공식 AI 페이지에서 비전·계획·추론 하드웨어 전략과 별도 보행·균형 개발 과제</x:v>
      </x:c>
      <x:c r="J7" s="45" t="str">
        <x:v>실제 생산수율·제조원가
외부 고객 인도·검수·현금회수
자율 개입률·유효 작업당 총비용
로봇 별도 매출·마진</x:v>
      </x:c>
      <x:c r="K7" s="45" t="str">
        <x:v>https://www.tesla.com/AI
https://assets-ir.tesla.com/tesla-contents/IR/TSLA-Q2-2026-Update.pdf</x:v>
      </x:c>
    </x:row>
    <x:row r="8" ht="72" hidden="0" customHeight="1">
      <x:c r="A8" s="2"/>
      <x:c r="B8" s="2"/>
      <x:c r="C8" s="45" t="str">
        <x:v>Figure–BMW</x:v>
      </x:c>
      <x:c r="D8" s="45" t="str">
        <x:v>미국·독일 고객</x:v>
      </x:c>
      <x:c r="E8" s="45" t="str">
        <x:v>이족형 양팔</x:v>
      </x:c>
      <x:c r="F8" s="45" t="str">
        <x:v>Figure02 판금 투입; Figure03 부품 순서배열·카트 이동</x:v>
      </x:c>
      <x:c r="G8" s="45" t="str">
        <x:v>Figure 02 반복 고객 현장 운영 확인. Figure 03 기체는 2025-10-09 최초 공개, BMW 현장 첫 시연은 2026-06-30 발표. 이전 세대 실적을 승계하지 않음.</x:v>
      </x:c>
      <x:c r="H8" s="45" t="str">
        <x:v>BMW 고객 협업과 현장 배치 확인; BMW 유상 조건·확정 주문 수량·인식 매출·재주문 미공개. 별도 물류 고객 Catalyst Brands와 2026-05-26 상업협약 발표; 금액·대수·매출 미공개.</x:v>
      </x:c>
      <x:c r="I8" s="45" t="str">
        <x:v>BMW가 Figure02 약1250시간·9만부품·3만X3생산지원 확인
Figure02 99%초과 성공·무개입은 목표
Figure03+Helix02 현장 첫 시연은 별도 단계
Figure 03 최초 공개 2025-10-09와 BMW 현장 시연 2026-06-30 구분
2026-05-26 Catalyst Brands Reno 물류센터에서 시작하는 상업협약 발표; Brookfield 공통 투자관계 명시</x:v>
      </x:c>
      <x:c r="J8" s="45" t="str">
        <x:v>기체 수·교대전체가동률·실제개입률
BMW10개월과Figure11개월의정의차이
서비스·정비·보증비
고객별 계약금액·매출</x:v>
      </x:c>
      <x:c r="K8" s="45" t="str">
        <x:v>https://www.press.bmwgroup.com/global/article/detail/T0455864EN/bmw-group-to-deploy-humanoid-robots-in-production-in-germany-for-the-first-time?language=en
https://www.figure.ai/news/production-at-bmw
https://www.figure.ai/news/f-03-at-bmw
https://www.figure.ai/news/introducing-figure-03
https://www.figure.ai/news/figure-signs-agreement-with-catalyst-brands</x:v>
      </x:c>
    </x:row>
    <x:row r="9" ht="48" hidden="0" customHeight="1">
      <x:c r="A9" s="2"/>
      <x:c r="B9" s="2"/>
      <x:c r="C9" s="45" t="str">
        <x:v>Agility Robotics–GXO</x:v>
      </x:c>
      <x:c r="D9" s="45" t="str">
        <x:v>미국</x:v>
      </x:c>
      <x:c r="E9" s="45" t="str">
        <x:v>이족형·작업용 그리퍼</x:v>
      </x:c>
      <x:c r="F9" s="45" t="str">
        <x:v>토트 운반·AMR와컨베이어연결</x:v>
      </x:c>
      <x:c r="G9" s="45" t="str">
        <x:v>Digit4 반복 상업 현장 운영. Digit5 개발중 예비사양, 2027상반기earlyaccess/연말일반공급계획.</x:v>
      </x:c>
      <x:c r="H9" s="45" t="str">
        <x:v>GXO 다년 RaaS와 매출발생 공식발표. Digit5 $3억초과 주문은 마일스톤 조건부. 합병계약발표·종결미확인, 고객별 재주문 미확인.</x:v>
      </x:c>
      <x:c r="I9" s="45" t="str">
        <x:v>2024-06-27 GXO 고객 직접 RaaS발표
2026-09-15 제조사 Digit4 여러현장65000시간·GXO10만토트·작업중98%정확도
Digit5제품페이지개발중·일부애니메이션·예비사양명시</x:v>
      </x:c>
      <x:c r="J9" s="45" t="str">
        <x:v>기체별·고객별일관분모운영로그
RaaS 고객단가·서비스비·마진
조건부주문의확정전환
합병종결·환매·순현금·희석</x:v>
      </x:c>
      <x:c r="K9" s="45" t="str">
        <x:v>https://investors.gxo.com/news-releases/news-release-details/gxo-signs-industry-first-multi-year-agreement-agility-robotics
https://www.agilityrobotics.com/content/agility-unveils-digit-5-humanoid-robot-built-for-cooperatively-safe-work-at-scale
https://www.agilityrobotics.com/solutions/digit-5
https://www.agilityrobotics.com/content/agility-robotics-to-go-public-through-merger-with-churchill-capital-corp-xi</x:v>
      </x:c>
    </x:row>
    <x:row r="10" ht="48" hidden="0" customHeight="1">
      <x:c r="A10" s="2"/>
      <x:c r="B10" s="2"/>
      <x:c r="C10" s="45" t="str">
        <x:v>Apptronik–Mercedes-Benz/Jabil</x:v>
      </x:c>
      <x:c r="D10" s="45" t="str">
        <x:v>미국·독일 고객</x:v>
      </x:c>
      <x:c r="E10" s="45" t="str">
        <x:v>Apollo2 이족형 및 바퀴형 양팔</x:v>
      </x:c>
      <x:c r="F10" s="45" t="str">
        <x:v>자재 운반·검사·키팅·현장 훈련 데이터</x:v>
      </x:c>
      <x:c r="G10" s="45" t="str">
        <x:v>Mercedes 현장시험·원격조작학습, Apollo2 고객·RobotPark 데이터수집. Apollo3 차기상업제품 개발.</x:v>
      </x:c>
      <x:c r="H10" s="45" t="str">
        <x:v>상업협약·Jabil제조협력·투자확인. 개별유상실증금액·납품매출·재주문미공개.</x:v>
      </x:c>
      <x:c r="I10" s="45" t="str">
        <x:v>Mercedes 고객자료가원격조작·AR기술전수및자율화개발명시
2026-06-30 Apollo2훈련플랫폼과차기Apollo3구분
Jabil공동발표는제조·파일럿협력</x:v>
      </x:c>
      <x:c r="J10" s="45" t="str">
        <x:v>Apollo3고객검수및출시일
데이터권리·모델독점성·파트너비용
실제양산물량·수율·재고보증책임
개입률·서비스비·고객마진</x:v>
      </x:c>
      <x:c r="K10" s="45" t="str">
        <x:v>https://group.mercedes-benz.com/company/production/production-network/mbdfc-humanoid-robots.html
https://apptronik.com/news-collection/welcome-to-robot-park-where-apptroniks-apollo-goes-to-work
https://apptronik.com/news-collection/apptronik-and-jabil-collaborate-to-scale-production</x:v>
      </x:c>
    </x:row>
    <x:row r="11" ht="72" hidden="0" customHeight="1">
      <x:c r="A11" s="2"/>
      <x:c r="B11" s="2"/>
      <x:c r="C11" s="45" t="str">
        <x:v>Boston Dynamics–현대차그룹</x:v>
      </x:c>
      <x:c r="D11" s="45" t="str">
        <x:v>미국·한국계 그룹</x:v>
      </x:c>
      <x:c r="E11" s="45" t="str">
        <x:v>Atlas 이족형 양팔</x:v>
      </x:c>
      <x:c r="F11" s="45" t="str">
        <x:v>부품 순서배열·산업 자재취급</x:v>
      </x:c>
      <x:c r="G11" s="45" t="str">
        <x:v>현대차고객현장시험·산업용제품화. HMGMA2028배치계획;2030조립확대는기술·운영·사업조건부.</x:v>
      </x:c>
      <x:c r="H11" s="45" t="str">
        <x:v>그룹도입계획. Atlas별도유상납품·매출·재주문미확인. Spot/Stretch실적과분리. SoftBank잔여지분취득추진중.</x:v>
      </x:c>
      <x:c r="I11" s="45" t="str">
        <x:v>Atlas공식제품페이지현대차fieldtesting설명
2026-07-16 현대차그룹2028/2030계획·조건명시
공식사양순간50kg/지속30kg구분
2021-06-21 인수 종결 당시 현대차그룹 측 80%·SoftBank 20%; 현대자동차 단독 지분율과 구분
2026-07-16 잔여 지분 취득 추진과 승인·정산·최종 배분 미확정
2026-06 Massachusetts Waltham 제조·AI·연구개발 거점 확대 발표</x:v>
      </x:c>
      <x:c r="J11" s="45" t="str">
        <x:v>외부고객유상검수·계약단가
Atlas서비스원가·장기가동률
최종지분변경·독립상장
관계사외재주문</x:v>
      </x:c>
      <x:c r="K11" s="45" t="str">
        <x:v>https://bostondynamics.com/products/atlas/
https://www.hyundai.com/worldwide/en/newsroom/detail/0000001225
https://bostondynamics.com/
https://bostondynamics.com/news/hyundai-motor-group-completes-acquisition-of-boston-dynamics-from-softbank/
https://bostondynamics.com/news/boston-dynamics-expands-massachusetts-footprint-with-new-323000-square-foot-facility-in-waltham/</x:v>
      </x:c>
    </x:row>
    <x:row r="12" ht="180" hidden="0" customHeight="1">
      <x:c r="A12" s="2"/>
      <x:c r="B12" s="2"/>
      <x:c r="C12" s="45" t="str">
        <x:v>UBTECH</x:v>
      </x:c>
      <x:c r="D12" s="45" t="str">
        <x:v>중국</x:v>
      </x:c>
      <x:c r="E12" s="45" t="str">
        <x:v>Walker S1/S2: 이족형; 공시 humanoid products and services에 바퀴형·서비스 포함</x:v>
      </x:c>
      <x:c r="F12" s="45" t="str">
        <x:v>자동차·전자 공장 물류 취급·검사·기존 AMR와의 통합</x:v>
      </x:c>
      <x:c r="G12" s="45" t="str">
        <x:v>제조사 현장 훈련 사례와 고객 Dongfeng의 Walker S1 8대 공장 투입 확인. 장기 무개입 경제성은 미확인.</x:v>
      </x:c>
      <x:c r="H12" s="45" t="str">
        <x:v>홍콩 9880. 2026 H1 미감사 전신 휴머노이드 제품·서비스 매출590.3m RMB, 범주 판매921대 공시. 개별 계약 대가·검수·재주문 미확인.</x:v>
      </x:c>
      <x:c r="I12" s="45" t="str">
        <x:v>claim: Walker S2 이중배터리 3분 교체·15kg취급
evidence_type: manufacturer_specification
source_urls: https://www.ubtrobot.com/en/humanoid/products/walker-s2
claim: BYD·NIO·Zeekr 산업 적용·훈련 사례
evidence_type: manufacturer_claim
source_urls: https://www.ubtrobot.com/en/humanoid/solutions/industry
claim: 2025-06-19 Dongfeng Liuqi 상용차 공장 Walker S1 8대 분류·운반 투입
evidence_type: customer_confirmation
source_urls: https://www.dfmc.com.cn/news/company/news_20250619_0945.html
claim: H1 총매출1269.1m RMB; humanoid제품서비스590.3m(46.5%);판매921대;당기손실338.827m
evidence_type: unaudited_financial_disclosure
source_urls: https://owebsite-cdn.ubtrobot.com/resources/file/2026/09/02/844614814105669.pdf
claim: 적재·하역 VLA 실험실 성공률75%
evidence_type: company_research_claim
source_urls: https://owebsite-cdn.ubtrobot.com/resources/file/2026/09/02/844614814105669.pdf</x:v>
      </x:c>
      <x:c r="J12" s="45" t="str">
        <x:v>공시 범주 중 이족형·바퀴형·서비스 비중
고객별 대금·검수·재주문
로봇별 원격 개입 시간과 현장 유지보수 비용
순수 최종 생산 수요와 훈련·연구 수요 비중
현장 투자 회수기간</x:v>
      </x:c>
      <x:c r="K12" s="45" t="str">
        <x:v>https://www.ubtrobot.com/en/humanoid/products/walker-s2
https://www.ubtrobot.com/en/humanoid/solutions/industry
https://www.dfmc.com.cn/news/company/news_20250619_0945.html
https://owebsite-cdn.ubtrobot.com/resources/file/2026/09/02/844614814105669.pdf</x:v>
      </x:c>
    </x:row>
    <x:row r="13" ht="156" hidden="0" customHeight="1">
      <x:c r="A13" s="2"/>
      <x:c r="B13" s="2"/>
      <x:c r="C13" s="45" t="str">
        <x:v>XPENG / IRON</x:v>
      </x:c>
      <x:c r="D13" s="45" t="str">
        <x:v>중국</x:v>
      </x:c>
      <x:c r="E13" s="45" t="str">
        <x:v>IRON 전신 이족형</x:v>
      </x:c>
      <x:c r="F13" s="45" t="str">
        <x:v>자체 매장·캠퍼스 초기 적용 및 2027년 상업 시장 납품 계획</x:v>
      </x:c>
      <x:c r="G13" s="45" t="str">
        <x:v>2026-09-08 생산라인 가동·첫 기체 공개; 핵심공정80%초과자동화는 회사주장. 본격양산2026년말은 계획.</x:v>
      </x:c>
      <x:c r="H13" s="45" t="str">
        <x:v>모회사 NYSE XPEV/HKEX9868. 2026-08-24 로봇사업 &gt;900mUSD 투자계약·&gt;6.3bnUSD post-money 발표, 거래 종결 후 지배 유지 예정. 시장 납품 2027년 계획; 로봇 독립 매출 미확인.</x:v>
      </x:c>
      <x:c r="I13" s="45" t="str">
        <x:v>claim: IRON 생산라인 가동;2026년말양산·2027년시장납품 계획 구분
evidence_type: manufacturer_production_announcement_and_forward_plan
source_urls: https://www.xpeng.com/news/01a080371029a057bc8e8a02a2c6012b
claim: 76DOF,손당21DOF,3Turing칩
evidence_type: manufacturer_specification
source_urls: https://www.xpeng.com/news/01a03797fccda01e0de68a02a256006a
claim: 로봇사업 투자계약 &gt;900mUSD,&gt;6.3bnUSD post-money,종결후지배유지·연결
evidence_type: corporate_financing_agreement_announcement
source_urls: https://www.xpeng.com/news/01a03797fccda01e0de68a02a256006a
claim: 모회사Q2매출19.74bnRMB·순손실1.34bnRMB
evidence_type: unaudited_financial_disclosure
source_urls: https://ir.xiaopeng.com/news-releases/news-release-details/xpeng-reports-second-quarter-2026-unaudited-financial-results</x:v>
      </x:c>
      <x:c r="J13" s="45" t="str">
        <x:v>투자계약 종결과 실제 입금·투자후지분율
독립 고객 확정 주문·검수·유료재주문
실제 양산 수율·단가·보증 비용
자동차 데이터에서 조작 데이터로의 전이 효과
로봇 독립 매출·현금흐름·모회사 귀속 가치</x:v>
      </x:c>
      <x:c r="K13" s="45" t="str">
        <x:v>https://www.xpeng.com/news/01a080371029a057bc8e8a02a2c6012b
https://www.xpeng.com/news/01a03797fccda01e0de68a02a256006a
https://ir.xiaopeng.com/news-releases/news-release-details/xpeng-reports-second-quarter-2026-unaudited-financial-results</x:v>
      </x:c>
    </x:row>
    <x:row r="14" ht="192" hidden="0" customHeight="1">
      <x:c r="A14" s="2"/>
      <x:c r="B14" s="2"/>
      <x:c r="C14" s="45" t="str">
        <x:v>AGIBOT</x:v>
      </x:c>
      <x:c r="D14" s="45" t="str">
        <x:v>중국</x:v>
      </x:c>
      <x:c r="E14" s="45" t="str">
        <x:v>A·X 계열 이족형 및 G2·A2-W 바퀴형 양팔; 회사 전체 제품 합계 분리</x:v>
      </x:c>
      <x:c r="F14" s="45" t="str">
        <x:v>G2 Longcheer 태블릿 공정 조작·검사; 데이터·모델·개발 플랫폼; X2 전신 동작</x:v>
      </x:c>
      <x:c r="G14" s="45" t="str">
        <x:v>Longcheer 실제 공장 공개 작업과 제조사 집계; 일반화 모델 자체 평가 공개. 바퀴형 조작과 이족 제어의 성숙도 분리.</x:v>
      </x:c>
      <x:c r="H14" s="45" t="str">
        <x:v>2026-06-28 누적 15,000번째 로봇 생산은 회사 발표. Longcheer 고객 계약 대가·검수·매출·재주문은 미확인.</x:v>
      </x:c>
      <x:c r="I14" s="45" t="str">
        <x:v>claim: 누적 15,000번째 생산 기체가 G2
evidence_type: manufacturer_production_claim
source_urls: https://www.agibot.com/article/231/detail/82.html
claim: 6일간 공개 작업에 대해 &gt;64h,64828tasks,99.99%,라인산출17625개 발표
evidence_type: manufacturer_operational_claim_not_audited
source_urls: https://www.agibot.com/article/231/detail/83.html
claim: 6/28 약100누적 방송시간과 6/29 &gt;64작업시간의 집계 범위 미해소
evidence_type: source_scope_discrepancy
source_urls: https://www.agibot.com/article/231/detail/82.html
https://www.agibot.com/article/231/detail/83.html
claim: AgiBotWorld:100만이상 궤적·217작업·5환경
evidence_type: author_research
source_urls: https://arxiv.org/abs/2503.06669
claim: GE-Act2.0 자체 zero-shot평가:300→30000h,G1-OP17.1→44.1%,G2-90D13.4→31.1%
evidence_type: author_research
source_urls: https://www.agibot.com/article/231/detail/120.html</x:v>
      </x:c>
      <x:c r="J14" s="45" t="str">
        <x:v>실제 고객 계약·검수·TCO·현금 회수
64h와100h 집계범위 차이
기체별 실제 유효 시간·원격 조작·감독 분모
총생산 중 제품형태·최종납품·가동수량
외부 연구 재현과 신규 작업 데이터 요구량</x:v>
      </x:c>
      <x:c r="K14" s="45" t="str">
        <x:v>https://www.agibot.com/
https://www.agibot.com/article/231/detail/82.html
https://www.agibot.com/article/231/detail/83.html
https://www.agibot.com/products/G2
https://arxiv.org/abs/2503.06669
https://www.agibot.com/article/231/detail/120.html
https://www.agibot.com/article/231/detail/121.html</x:v>
      </x:c>
    </x:row>
    <x:row r="15" ht="84" hidden="0" customHeight="1">
      <x:c r="A15" s="2"/>
      <x:c r="B15" s="2"/>
      <x:c r="C15" s="45" t="str">
        <x:v>Hexagon AEON–BMW/Schaeffler</x:v>
      </x:c>
      <x:c r="D15" s="45" t="str">
        <x:v>스웨덴 모회사·스위스 개발·독일 고객</x:v>
      </x:c>
      <x:c r="E15" s="45" t="str">
        <x:v>바퀴형 양팔·교체도구</x:v>
      </x:c>
      <x:c r="F15" s="45" t="str">
        <x:v>검사·현실측정·자재·배터리공정 시험</x:v>
      </x:c>
      <x:c r="G15" s="45" t="str">
        <x:v>BMW현장시험및제한생산업무수행+훈련,2026말정식배치계획. Schaeffler8월Gym훈련·검증.</x:v>
      </x:c>
      <x:c r="H15" s="45" t="str">
        <x:v>액추에이터공급협력과7년간1000대도입계획. 전체확정구매의무·기체매출·재주문미확인. Unitree지분평가손익별도.</x:v>
      </x:c>
      <x:c r="I15" s="45" t="str">
        <x:v>BMW고객2025/12초기시험확인
Hexagon2026/6생산업무시작과연말배치전망동시명시
8월Gym학습·검증·배치준비
Schaeffler4월공급협력·장기도입계획</x:v>
      </x:c>
      <x:c r="J15" s="45" t="str">
        <x:v>정식교대운영·고객검수·기체매출
반복다중업무활용률
공급·도입계약최소물량해지조건
유지보수포함마진</x:v>
      </x:c>
      <x:c r="K15" s="45" t="str">
        <x:v>https://www.press.bmwgroup.com/global/article/detail/T0455864EN/bmw-group-to-deploy-humanoid-robots-in-production-in-germany-for-the-first-time?language=en
https://robotics.hexagon.com/product/
https://robotics.hexagon.com/new-milestone-with-bmw-group-industrial-humanoid-deployment/
https://robotics.hexagon.com/aeon-trains-at-schaeffler-humanoid-gym/
https://www.schaeffler.com/en/investor-relations/events-publications/ir-releases/ir_releases_detail.jsp?id=88184988
https://hexagon.com/company/newsroom/press-releases/2026/hexagons-shareholding-in-hangzhou-yushu-technology-co-ltd-unitree-technologies</x:v>
      </x:c>
    </x:row>
    <x:row r="16" ht="48" hidden="0" customHeight="1">
      <x:c r="A16" s="2"/>
      <x:c r="B16" s="2"/>
      <x:c r="C16" s="45" t="str">
        <x:v>Humanoid–Siemens/Schaeffler</x:v>
      </x:c>
      <x:c r="D16" s="45" t="str">
        <x:v>영국·독일 고객</x:v>
      </x:c>
      <x:c r="E16" s="45" t="str">
        <x:v>HMND01 Alpha Wheeled 바퀴형 양팔</x:v>
      </x:c>
      <x:c r="F16" s="45" t="str">
        <x:v>토트집기·운반·놓기·공장시스템연결</x:v>
      </x:c>
      <x:c r="G16" s="45" t="str">
        <x:v>Siemens·MarturFompak현장POC. Siemens60이동/시간·8시간초과·성공90%초과공개시험. 장기연속운영미확인.</x:v>
      </x:c>
      <x:c r="H16" s="45" t="str">
        <x:v>구속력있는단계도입·RaaS·부품공급계약발표. 2026/12~2027/6첫단계,2032네자릿수목표. 납품매출·재주문미확인.</x:v>
      </x:c>
      <x:c r="I16" s="45" t="str">
        <x:v>Siemens2026-04-16고객직접성능시험확인
Humanoid/SAP/MarturFompak3월현장POC
5월binding phased계약이지만목표물량·단계조건구분</x:v>
      </x:c>
      <x:c r="J16" s="45" t="str">
        <x:v>시험분모·기체수·개입및복구시간
전체목표물량의인수의무
실제배치·검수·현금
RaaS마진·기존AMR팔대비TCO</x:v>
      </x:c>
      <x:c r="K16" s="45" t="str">
        <x:v>https://press.siemens.com/global/en/pressrelease/siemens-and-humanoid-bring-physical-ai-factory-floor-deploying-humanoids-industrial
https://thehumanoid.ai/hmnd-01-alpha-goes-to-work-humanoid-completes-automotive-manufacturing-logistics-poc-with-sap-and-martur-fompak/
https://thehumanoid.ai/humanoid-secures-landmark-deal-with-schaeffler-to-deploy-thousands-of-humanoid-robots/</x:v>
      </x:c>
    </x:row>
    <x:row r="17" ht="192" hidden="0" customHeight="1">
      <x:c r="A17" s="2"/>
      <x:c r="B17" s="2"/>
      <x:c r="C17" s="45" t="str">
        <x:v>Unitree</x:v>
      </x:c>
      <x:c r="D17" s="45" t="str">
        <x:v>중국</x:v>
      </x:c>
      <x:c r="E17" s="45" t="str">
        <x:v>G1·R1: 이족형 전신; 그룹 전체 사족 등과 구분</x:v>
      </x:c>
      <x:c r="F17" s="45" t="str">
        <x:v>연구·개발·교육 플랫폼과 조작 모델; 산업 노동 대체 경제성은 별도 검증</x:v>
      </x:c>
      <x:c r="G17" s="45" t="str">
        <x:v>제품 명세·개발 코드·실험 영상 공개. 구매 가능한 기체와 고객 생산 현장 자율 운영 수준을 구분.</x:v>
      </x:c>
      <x:c r="H17" s="45" t="str">
        <x:v>상장 확인(상하이 과창판 688836, 2026-08-19). 기체 판매 경로 확인; 특정 산업 고객 주문·검수·수익성·재주문은 본 프로필에서 미확인.</x:v>
      </x:c>
      <x:c r="I17" s="45" t="str">
        <x:v>claim: G1 기본형 13,500달러(세금·운송 제외), EDU와 개발·손 옵션 구분; R1 4,900달러부터
evidence_type: manufacturer_product_and_shop
source_urls: https://www.unitree.com/g1/
https://shop.unitree.com/products/unitree-r1
claim: 공식 UnifoLM-WMA-0 코드·가중치·데이터 및 서버 추론 배포 예제
evidence_type: author_research
source_urls: https://github.com/unitreerobotics/unifolm-world-model-action
https://unigen-x.github.io/unifolm-world-model-action.github.io/
claim: 상장 일자와 코드
evidence_type: corporate_disclosure
source_urls: https://www.unitree.com/disclosure/listedinfo/announcement/%E5%AE%87%E6%A0%91%E7%A7%91%E6%8A%80%20%E5%85%B3%E4%BA%8E%E5%8F%98%E6%9B%B4%E6%B3%A8%E5%86%8C%E8%B5%84%E6%9C%AC%E3%80%81%E5%85%AC%E5%8F%B8%E7%B1%BB%E5%9E%8B%E5%8F%8A%E4%BF%AE%E8%AE%A2%E3%80%8A%E5%85%AC%E5%8F%B8%E7%AB%A0%E7%A8%8B%E3%80%8B%E5%B9%B6%E5%8A%9E%E7%90%86%E5%B7%A5%E5%95%86%E5%8F%98%E6%9B%B4%E7%99%BB%E8%AE%B0%E7%9A%84%E5%85%AC%E5%91%8A.pdf</x:v>
      </x:c>
      <x:c r="J17" s="45" t="str">
        <x:v>산업 고객별 유상 실증·확정 주문·검수·재주문
연구용 수요와 최종 노동 대체 수요 비중
필요 옵션·통합·정비를 포함한 실제 TCO
고객 데이터 소유권과 독점성
고객별 외부 재현 개입률·가동률</x:v>
      </x:c>
      <x:c r="K17" s="45" t="str">
        <x:v>https://www.unitree.com/disclosure/listedinfo/announcement/%E5%AE%87%E6%A0%91%E7%A7%91%E6%8A%80%20%E5%85%B3%E4%BA%8E%E5%8F%98%E6%9B%B4%E6%B3%A8%E5%86%8C%E8%B5%84%E6%9C%AC%E3%80%81%E5%85%AC%E5%8F%B8%E7%B1%BB%E5%9E%8B%E5%8F%8A%E4%BF%AE%E8%AE%A2%E3%80%8A%E5%85%AC%E5%8F%B8%E7%AB%A0%E7%A8%8B%E3%80%8B%E5%B9%B6%E5%8A%9E%E7%90%86%E5%B7%A5%E5%95%86%E5%8F%98%E6%9B%B4%E7%99%BB%E8%AE%B0%E7%9A%84%E5%85%AC%E5%91%8A.pdf
https://www.unitree.com/g1/
https://shop.unitree.com/products/unitree-r1
https://github.com/unitreerobotics/unifolm-world-model-action
https://unigen-x.github.io/unifolm-world-model-action.github.io/</x:v>
      </x:c>
    </x:row>
    <x:row r="18" ht="132" hidden="0" customHeight="1">
      <x:c r="A18" s="2"/>
      <x:c r="B18" s="2"/>
      <x:c r="C18" s="45" t="str">
        <x:v>LimX Dynamics</x:v>
      </x:c>
      <x:c r="D18" s="45" t="str">
        <x:v>중국</x:v>
      </x:c>
      <x:c r="E18" s="45" t="str">
        <x:v>Oli 전신 이족형; TRON2 모듈형 다중 형태; Luna 제품 구분</x:v>
      </x:c>
      <x:c r="F18" s="45" t="str">
        <x:v>연구·개발·이동 조작 통합 플랫폼과 COSA</x:v>
      </x:c>
      <x:c r="G18" s="45" t="str">
        <x:v>Oli 제품 명세·SDK·시뮬레이션 지원, COSA 계층 구조와 시연 공개. 제삼자 장기 산업 운영 재현은 미확인.</x:v>
      </x:c>
      <x:c r="H18" s="45" t="str">
        <x:v>2026-07-14 회사가 Pre-IPO 약2억달러, 여러 제품 수천 대 주문·절반이상 해외, Luna 고객납품 발표. 제품별 매출·재주문·상장 완료 미확인.</x:v>
      </x:c>
      <x:c r="I18" s="45" t="str">
        <x:v>claim: Oli 상세 명세상 165cm·31DOF; 구성별 말단 장치·배터리 교체·개발 도구 확인. TRON2는 별도 형태.
evidence_type: manufacturer_specification
source_urls: https://www.limxdynamics.com/zh/products/oli
https://www.limxdynamics.com/zh/products/tron2
https://www.limxdynamics.com/zh/products/oli/spec
claim: COSA 전신 제어·작업 기술·상위 인지 구조와 작업 예시
evidence_type: manufacturer_research
source_urls: https://www.limxdynamics.com/zh/news/BK000054
claim: Pre-IPO 자금 및 다제품 주문·Luna 납품
evidence_type: manufacturer_financing_and_commercial_claim
source_urls: https://www.limxdynamics.com/zh/news/BK000063</x:v>
      </x:c>
      <x:c r="J18" s="45" t="str">
        <x:v>제품별 주문·검수·매출·가동대수
현재 동일구성 공식 판매가격
개별 고객 운영 목적과 TCO
고객 개발 시간 감소·서비스 갱신율
상장 완료 여부와 투자접근 가능성</x:v>
      </x:c>
      <x:c r="K18" s="45" t="str">
        <x:v>https://www.limxdynamics.com/zh/products/oli
https://www.limxdynamics.com/zh/products/tron2
https://www.limxdynamics.com/zh/news/BK000054
https://www.limxdynamics.com/zh/news/BK000063
https://www.limxdynamics.com/zh/products/oli/spec</x:v>
      </x:c>
    </x:row>
    <x:row r="19" ht="72" hidden="0" customHeight="1">
      <x:c r="A19" s="2"/>
      <x:c r="B19" s="2"/>
      <x:c r="C19" s="45" t="str">
        <x:v>Rainbow Robotics–삼성전자</x:v>
      </x:c>
      <x:c r="D19" s="45" t="str">
        <x:v>한국</x:v>
      </x:c>
      <x:c r="E19" s="45" t="str">
        <x:v>바퀴형 양팔 RB-Y1</x:v>
      </x:c>
      <x:c r="F19" s="45" t="str">
        <x:v>연구·데이터수집·전신조작</x:v>
      </x:c>
      <x:c r="G19" s="45" t="str">
        <x:v>해외연구팀실물실험확인;기업산업화추진</x:v>
      </x:c>
      <x:c r="H19" s="45" t="str">
        <x:v>연구용플랫폼거래와제조고객대량재주문·매출인식구분;후자는미확인</x:v>
      </x:c>
      <x:c r="I19" s="45" t="str">
        <x:v>GeorgiaTechWARP실물RB-Y1
Amazon·UCBerkeleyX-OP통제연구실실험</x:v>
      </x:c>
      <x:c r="J19" s="45" t="str">
        <x:v>고객별매출/재주문
외부센서없는장기공장가동
전체DOF표기불일치</x:v>
      </x:c>
      <x:c r="K19" s="45" t="str">
        <x:v>https://news.samsung.com/global/samsung-electronics-to-become-largest-shareholder-in-rainbow-robotics-accelerating-future-robot-development
https://eiec.kdi.re.kr/policy/materialView.do?num=263955
https://rainbow-robotics.com/products/rb-y1/
https://arxiv.org/html/2606.29940v2
https://arxiv.org/html/2606.07934v1</x:v>
      </x:c>
    </x:row>
    <x:row r="20" ht="60" hidden="0" customHeight="1">
      <x:c r="A20" s="2"/>
      <x:c r="B20" s="2"/>
      <x:c r="C20" s="45" t="str">
        <x:v>ROBOTIS</x:v>
      </x:c>
      <x:c r="D20" s="45" t="str">
        <x:v>한국</x:v>
      </x:c>
      <x:c r="E20" s="45" t="str">
        <x:v>AIWorker바퀴양팔/AISapiens이족/OMY조작기</x:v>
      </x:c>
      <x:c r="F20" s="45" t="str">
        <x:v>연구·학습·부품외부공급</x:v>
      </x:c>
      <x:c r="G20" s="45" t="str">
        <x:v>DYNAMIXEL외부채택확인;신형완성체는제품·연구플랫폼공개</x:v>
      </x:c>
      <x:c r="H20" s="45" t="str">
        <x:v>부품채택과완성체대량납품·매출분리;완성체실적미확인</x:v>
      </x:c>
      <x:c r="I20" s="45" t="str">
        <x:v>Trossen부품구성DYNAMIXEL명시
AIWorker/AISapiens별도제품설명</x:v>
      </x:c>
      <x:c r="J20" s="45" t="str">
        <x:v>외부이족양산신형Q채택
완성체유상납품·재주문
부품별보증원가</x:v>
      </x:c>
      <x:c r="K20" s="45" t="str">
        <x:v>https://docs.trossenrobotics.com/interbotix_xsarms_docs/specifications/vx300s.html
https://aloha-2.github.io/
https://www.robotis.com/en/product/ecosystem-aiworker.php
https://www.robotis.com/en/product/ecosystem-aisapiens.php
https://www.robotis.com/en/product/ecosystem-omy.php</x:v>
      </x:c>
    </x:row>
    <x:row r="21" ht="48" hidden="0" customHeight="1">
      <x:c r="A21" s="2"/>
      <x:c r="B21" s="2"/>
      <x:c r="C21" s="45" t="str">
        <x:v>1X NEO</x:v>
      </x:c>
      <x:c r="D21" s="45" t="str">
        <x:v>노르웨이 기원·미국 사업</x:v>
      </x:c>
      <x:c r="E21" s="45" t="str">
        <x:v>이족형 양팔·텐던 구동 손</x:v>
      </x:c>
      <x:c r="F21" s="45" t="str">
        <x:v>가정 내 가사·개인 보조</x:v>
      </x:c>
      <x:c r="G21" s="45" t="str">
        <x:v>사내가정시험·시연·초기기본자율성. 복잡작업ExpertMode원격지도. 장기일반가구운영통계미확인.</x:v>
      </x:c>
      <x:c r="H21" s="45" t="str">
        <x:v>예약판매·예약물량제조사발표. 첫2026출하계획. 실제일반고객인도수량·매출인식·반품률미확인.</x:v>
      </x:c>
      <x:c r="I21" s="45" t="str">
        <x:v>NEO공식페이지basicautonomy와remoteexpert명시
2026-04-30 공장 소개: 2025년 10월 예약 개시 후 5일 만에 당시 향후 1년 생산계획 1만 대가 예약됐다는 회고; 일부 고객은 2026년 이후 인도 계획
2026-07-09 손25DoF는손22+손목3</x:v>
      </x:c>
      <x:c r="J21" s="45" t="str">
        <x:v>실제인도·반품·취소율
유효가사시간당원격지원시간
가정별정비·서비스원가
독립안전·장기내구성·자율성시험</x:v>
      </x:c>
      <x:c r="K21" s="45" t="str">
        <x:v>https://www.1x.tech/neo
https://www.1x.tech/discover/neo-factory
https://www.1x.tech/discover/neos-hands</x:v>
      </x:c>
    </x:row>
    <x:row r="22" ht="108" hidden="0" customHeight="1">
      <x:c r="A22" s="2"/>
      <x:c r="B22" s="2"/>
      <x:c r="C22" s="45" t="str">
        <x:v>Fourier</x:v>
      </x:c>
      <x:c r="D22" s="45" t="str">
        <x:v>중국</x:v>
      </x:c>
      <x:c r="E22" s="45" t="str">
        <x:v>GR-3: 이족형 전신 상호작용 로봇; 기존 재활 장비와 분리</x:v>
      </x:c>
      <x:c r="F22" s="45" t="str">
        <x:v>동반·안내·시설 상호작용과 개발 플랫폼</x:v>
      </x:c>
      <x:c r="G22" s="45" t="str">
        <x:v>CES2026 대화·접촉·춤·체스 공개 시연, 공식 개발 문서. 실제 장기간 서비스 가동·안전·유지율은 검토 자료에서 미확인.</x:v>
      </x:c>
      <x:c r="H22" s="45" t="str">
        <x:v>GR-3 독립 매출·대규모 유상 설치·반복 계약을 검토 자료에서 확인하지 못함. 기존 재활 사업의 수치를 GR-3에 전용하지 않음.</x:v>
      </x:c>
      <x:c r="I22" s="45" t="str">
        <x:v>claim: CES2026 제조사 GR-3 소개:165cm,55DOF,시청촉각·상호작용
evidence_type: manufacturer_press_release
source_urls: https://www.prnewswire.com/news-releases/fourier-makes-ces-debut-with-gr-3-a-next-generation-care-focused-humanoid-robot-302654579.html
claim: 공식 개발자 센터와 GR-3 문서 진입점
evidence_type: official_documentation
source_urls: https://support.fftai.com/
https://support.fftai.com/gr3</x:v>
      </x:c>
      <x:c r="J22" s="45" t="str">
        <x:v>납품 가격과 기본 제공 기능
대규모 유료 설치·재주문·장기 유지율
현장 감독·청소·정비 시간
가정·시설 실효 효익과 대체장치 비교
GR-3 단독 매출·이익·현금흐름</x:v>
      </x:c>
      <x:c r="K22" s="45" t="str">
        <x:v>https://www.prnewswire.com/news-releases/fourier-makes-ces-debut-with-gr-3-a-next-generation-care-focused-humanoid-robot-302654579.html
https://support.fftai.com/
https://support.fftai.com/gr3</x:v>
      </x:c>
    </x:row>
    <x:row r="23" ht="48" hidden="0" customHeight="1">
      <x:c r="A23" s="2"/>
      <x:c r="B23" s="2"/>
      <x:c r="C23" s="45" t="str">
        <x:v>Doosan Robotics–광진그룹</x:v>
      </x:c>
      <x:c r="D23" s="45" t="str">
        <x:v>한국</x:v>
      </x:c>
      <x:c r="E23" s="45" t="str">
        <x:v>고정형협동로봇·AI통합/대체자동화</x:v>
      </x:c>
      <x:c r="F23" s="45" t="str">
        <x:v>리벳·조립·검사·팔레타이징</x:v>
      </x:c>
      <x:c r="G23" s="45" t="str">
        <x:v>기존공정도입확인;휴머노이드본체와분리</x:v>
      </x:c>
      <x:c r="H23" s="45" t="str">
        <x:v>기존도입+100이상솔루션2027까지MOU·후속공급계획;전량인식미확인</x:v>
      </x:c>
      <x:c r="I23" s="45" t="str">
        <x:v>기존광진공정도입공식설명
Frankfurt현지서비스강화
PalletizHD+·Scan&amp;Go2.0공개</x:v>
      </x:c>
      <x:c r="J23" s="45" t="str">
        <x:v>계약금액·검수별매출
품질지표측정기간·표본
휴머노이드별도매출</x:v>
      </x:c>
      <x:c r="K23" s="45" t="str">
        <x:v>https://www.doosanrobotics.com/en/about/promotion/news/doosan-robotics-strengthens-european-presence-expanded-frankfurt-branch
https://www.doosanrobotics.com/en/about/promotion/news/doosan-supply-large-scale-robot-solutions-kwangjin
https://www.doosanrobotics.com/en/about/promotion/news/kwangjin-achieves-near-zero-defects-with-doosan-cobots
https://www.doosanrobotics.com/en/about/promotion/news/doosan-robotics-ai-palletizing-solution-palletizhd-plus-automate-2026</x:v>
      </x:c>
    </x:row>
  </x:sheetData>
  <x:pageMargins left="0.7" right="0.7" top="0.75" bottom="0.75" header="0.3" footer="0.3"/>
  <x:tableParts count="1">
    <x:tablePart xmlns:r="http://schemas.openxmlformats.org/officeDocument/2006/relationships" r:id="Rc419dc625d844a9f"/>
  </x:tableParts>
</x:worksheet>
</file>

<file path=xl/worksheets/sheet9.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2" hidden="0" customWidth="1"/>
    <x:col min="2" max="2" width="2" hidden="0" customWidth="1"/>
    <x:col min="3" max="3" width="25" hidden="0" customWidth="1"/>
    <x:col min="4" max="4" width="18" hidden="0" customWidth="1"/>
    <x:col min="5" max="5" width="14" hidden="0" customWidth="1"/>
    <x:col min="6" max="6" width="28" hidden="0" customWidth="1"/>
    <x:col min="7" max="7" width="39" hidden="0" customWidth="1"/>
    <x:col min="8" max="8" width="83" hidden="0" customWidth="1"/>
    <x:col min="9" max="9" width="25" hidden="0" customWidth="1"/>
    <x:col min="10" max="10" width="18" hidden="0" customWidth="1"/>
    <x:col min="11" max="11" width="93" hidden="0" customWidth="1"/>
    <x:col min="12" max="12" width="70" hidden="0" customWidth="1"/>
    <x:col min="13" max="13" width="48" hidden="0" customWidth="1"/>
  </x:cols>
  <x:sheetData>
    <x:row r="1" ht="24" customHeight="1">
      <x:c r="A1" s="2"/>
      <x:c r="B1" s="2"/>
      <x:c r="C1" s="2"/>
      <x:c r="D1" s="2"/>
      <x:c r="E1" s="2"/>
      <x:c r="F1" s="2"/>
      <x:c r="G1" s="2"/>
      <x:c r="H1" s="2"/>
      <x:c r="I1" s="2"/>
      <x:c r="J1" s="2"/>
      <x:c r="K1" s="2"/>
      <x:c r="L1" s="2"/>
      <x:c r="M1" s="2"/>
    </x:row>
    <x:row r="2" ht="24" customHeight="1">
      <x:c r="A2" s="2"/>
      <x:c r="B2" s="2"/>
      <x:c r="C2" s="3" t="str">
        <x:v>재무</x:v>
      </x:c>
      <x:c r="D2" s="3"/>
      <x:c r="E2" s="3"/>
      <x:c r="F2" s="3"/>
      <x:c r="G2" s="3"/>
      <x:c r="H2" s="3"/>
      <x:c r="I2" s="3"/>
      <x:c r="J2" s="3"/>
      <x:c r="K2" s="3"/>
      <x:c r="L2" s="3"/>
      <x:c r="M2" s="3"/>
    </x:row>
    <x:row r="3" ht="24" customHeight="1">
      <x:c r="A3" s="2"/>
      <x:c r="B3" s="2"/>
      <x:c r="C3" s="2"/>
      <x:c r="D3" s="2"/>
      <x:c r="E3" s="2"/>
      <x:c r="F3" s="2"/>
      <x:c r="G3" s="2"/>
      <x:c r="H3" s="2"/>
      <x:c r="I3" s="2"/>
      <x:c r="J3" s="2"/>
      <x:c r="K3" s="2"/>
      <x:c r="L3" s="2"/>
      <x:c r="M3" s="2"/>
    </x:row>
    <x:row r="4" ht="24" customHeight="1">
      <x:c r="A4" s="2"/>
      <x:c r="B4" s="2"/>
      <x:c r="C4" s="4" t="str">
        <x:v>공시와 시세의 기간·통화·단위는 각 행에 보존합니다. 미확인 시세와 비공개 휴머노이드 매출은 추정하지 않습니다.</x:v>
      </x:c>
      <x:c r="D4" s="2"/>
      <x:c r="E4" s="2"/>
      <x:c r="F4" s="2"/>
      <x:c r="G4" s="2"/>
      <x:c r="H4" s="2"/>
      <x:c r="I4" s="2"/>
      <x:c r="J4" s="2"/>
      <x:c r="K4" s="2"/>
      <x:c r="L4" s="2"/>
      <x:c r="M4" s="2"/>
    </x:row>
    <x:row r="5" ht="24" customHeight="1">
      <x:c r="A5" s="2"/>
      <x:c r="B5" s="2"/>
      <x:c r="C5" s="2"/>
      <x:c r="D5" s="2"/>
      <x:c r="E5" s="2"/>
      <x:c r="F5" s="2"/>
      <x:c r="G5" s="2"/>
      <x:c r="H5" s="2"/>
      <x:c r="I5" s="2"/>
      <x:c r="J5" s="2"/>
      <x:c r="K5" s="2"/>
      <x:c r="L5" s="2"/>
      <x:c r="M5" s="2"/>
    </x:row>
    <x:row r="6" ht="34" customHeight="1">
      <x:c r="A6" s="2"/>
      <x:c r="B6" s="2"/>
      <x:c r="C6" s="8" t="str">
        <x:v>기업</x:v>
      </x:c>
      <x:c r="D6" s="8" t="str">
        <x:v>티커</x:v>
      </x:c>
      <x:c r="E6" s="8" t="str">
        <x:v>통화</x:v>
      </x:c>
      <x:c r="F6" s="8" t="str">
        <x:v>기간</x:v>
      </x:c>
      <x:c r="G6" s="8" t="str">
        <x:v>공시 항목</x:v>
      </x:c>
      <x:c r="H6" s="8" t="str">
        <x:v>값·공시 내용</x:v>
      </x:c>
      <x:c r="I6" s="8" t="str">
        <x:v>단위</x:v>
      </x:c>
      <x:c r="J6" s="8" t="str">
        <x:v>확인일</x:v>
      </x:c>
      <x:c r="K6" s="8" t="str">
        <x:v>원문 URL</x:v>
      </x:c>
      <x:c r="L6" s="8" t="str">
        <x:v>조건·정의</x:v>
      </x:c>
      <x:c r="M6" s="8" t="str">
        <x:v>자료키</x:v>
      </x:c>
    </x:row>
    <x:row r="7" ht="48" hidden="0" customHeight="1">
      <x:c r="A7" s="2"/>
      <x:c r="B7" s="2"/>
      <x:c r="C7" s="45" t="str">
        <x:v>Tesla</x:v>
      </x:c>
      <x:c r="D7" s="46" t="str">
        <x:v>TSLA</x:v>
      </x:c>
      <x:c r="E7" s="45" t="str">
        <x:v>USD</x:v>
      </x:c>
      <x:c r="F7" s="45" t="str">
        <x:v>2026-09-16 US close</x:v>
      </x:c>
      <x:c r="G7" s="45" t="str">
        <x:v>주가</x:v>
      </x:c>
      <x:c r="H7" s="51" t="n">
        <x:v>358.08</x:v>
      </x:c>
      <x:c r="I7" s="45" t="str">
        <x:v>통화/주</x:v>
      </x:c>
      <x:c r="J7" s="49" t="n">
        <x:v>46282</x:v>
      </x:c>
      <x:c r="K7" s="45" t="str">
        <x:v>https://assets-ir.tesla.com/tesla-contents/IR/TSLA-Q2-2026-Update.pdf
https://www.google.com/finance/quote/TSLA:NASDAQ</x:v>
      </x:c>
      <x:c r="L7"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7" s="45" t="str">
        <x:v>Tesla.price</x:v>
      </x:c>
    </x:row>
    <x:row r="8" ht="48" hidden="0" customHeight="1">
      <x:c r="A8" s="2"/>
      <x:c r="B8" s="2"/>
      <x:c r="C8" s="45" t="str">
        <x:v>Tesla</x:v>
      </x:c>
      <x:c r="D8" s="46" t="str">
        <x:v>TSLA</x:v>
      </x:c>
      <x:c r="E8" s="45" t="str">
        <x:v>USD</x:v>
      </x:c>
      <x:c r="F8" s="45" t="str">
        <x:v>2026-09-16 US close</x:v>
      </x:c>
      <x:c r="G8" s="45" t="str">
        <x:v>시가총액</x:v>
      </x:c>
      <x:c r="H8" s="45" t="str">
        <x:v>미확인</x:v>
      </x:c>
      <x:c r="I8" s="45" t="str">
        <x:v>원문 범위</x:v>
      </x:c>
      <x:c r="J8" s="49" t="n">
        <x:v>46282</x:v>
      </x:c>
      <x:c r="K8" s="45" t="str">
        <x:v>https://assets-ir.tesla.com/tesla-contents/IR/TSLA-Q2-2026-Update.pdf
https://www.google.com/finance/quote/TSLA:NASDAQ</x:v>
      </x:c>
      <x:c r="L8"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8" s="45" t="str">
        <x:v>Tesla.market_cap</x:v>
      </x:c>
    </x:row>
    <x:row r="9" ht="48" hidden="0" customHeight="1">
      <x:c r="A9" s="2"/>
      <x:c r="B9" s="2"/>
      <x:c r="C9" s="45" t="str">
        <x:v>Tesla</x:v>
      </x:c>
      <x:c r="D9" s="46" t="str">
        <x:v>TSLA</x:v>
      </x:c>
      <x:c r="E9" s="45" t="str">
        <x:v>USD</x:v>
      </x:c>
      <x:c r="F9" s="45" t="str">
        <x:v>2026 Q2, 3 months</x:v>
      </x:c>
      <x:c r="G9" s="45" t="str">
        <x:v>매출</x:v>
      </x:c>
      <x:c r="H9" s="51" t="n">
        <x:v>28236</x:v>
      </x:c>
      <x:c r="I9" s="45" t="str">
        <x:v>백만</x:v>
      </x:c>
      <x:c r="J9" s="49" t="n">
        <x:v>46282</x:v>
      </x:c>
      <x:c r="K9" s="45" t="str">
        <x:v>https://assets-ir.tesla.com/tesla-contents/IR/TSLA-Q2-2026-Update.pdf
https://www.google.com/finance/quote/TSLA:NASDAQ</x:v>
      </x:c>
      <x:c r="L9"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9" s="45" t="str">
        <x:v>Tesla.revenue</x:v>
      </x:c>
    </x:row>
    <x:row r="10" ht="48" hidden="0" customHeight="1">
      <x:c r="A10" s="2"/>
      <x:c r="B10" s="2"/>
      <x:c r="C10" s="45" t="str">
        <x:v>Tesla</x:v>
      </x:c>
      <x:c r="D10" s="46" t="str">
        <x:v>TSLA</x:v>
      </x:c>
      <x:c r="E10" s="45" t="str">
        <x:v>USD</x:v>
      </x:c>
      <x:c r="F10" s="45" t="str">
        <x:v>2026 Q2, 3 months</x:v>
      </x:c>
      <x:c r="G10" s="45" t="str">
        <x:v>영업이익</x:v>
      </x:c>
      <x:c r="H10" s="51" t="n">
        <x:v>398</x:v>
      </x:c>
      <x:c r="I10" s="45" t="str">
        <x:v>백만</x:v>
      </x:c>
      <x:c r="J10" s="49" t="n">
        <x:v>46282</x:v>
      </x:c>
      <x:c r="K10" s="45" t="str">
        <x:v>https://assets-ir.tesla.com/tesla-contents/IR/TSLA-Q2-2026-Update.pdf
https://www.google.com/finance/quote/TSLA:NASDAQ</x:v>
      </x:c>
      <x:c r="L10"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0" s="45" t="str">
        <x:v>Tesla.operating_profit</x:v>
      </x:c>
    </x:row>
    <x:row r="11" ht="48" hidden="0" customHeight="1">
      <x:c r="A11" s="2"/>
      <x:c r="B11" s="2"/>
      <x:c r="C11" s="45" t="str">
        <x:v>Tesla</x:v>
      </x:c>
      <x:c r="D11" s="46" t="str">
        <x:v>TSLA</x:v>
      </x:c>
      <x:c r="E11" s="45" t="str">
        <x:v>USD</x:v>
      </x:c>
      <x:c r="F11" s="45" t="str">
        <x:v>2026-06-30</x:v>
      </x:c>
      <x:c r="G11" s="45" t="str">
        <x:v>현금</x:v>
      </x:c>
      <x:c r="H11" s="51" t="n">
        <x:v>43524</x:v>
      </x:c>
      <x:c r="I11" s="45" t="str">
        <x:v>백만</x:v>
      </x:c>
      <x:c r="J11" s="49" t="n">
        <x:v>46282</x:v>
      </x:c>
      <x:c r="K11" s="45" t="str">
        <x:v>https://assets-ir.tesla.com/tesla-contents/IR/TSLA-Q2-2026-Update.pdf
https://www.google.com/finance/quote/TSLA:NASDAQ</x:v>
      </x:c>
      <x:c r="L11"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1" s="45" t="str">
        <x:v>Tesla.cash</x:v>
      </x:c>
    </x:row>
    <x:row r="12" ht="48" hidden="0" customHeight="1">
      <x:c r="A12" s="2"/>
      <x:c r="B12" s="2"/>
      <x:c r="C12" s="45" t="str">
        <x:v>Tesla</x:v>
      </x:c>
      <x:c r="D12" s="46" t="str">
        <x:v>TSLA</x:v>
      </x:c>
      <x:c r="E12" s="45" t="str">
        <x:v>USD</x:v>
      </x:c>
      <x:c r="F12" s="45" t="str">
        <x:v>2026-06-30</x:v>
      </x:c>
      <x:c r="G12" s="45" t="str">
        <x:v>차입금</x:v>
      </x:c>
      <x:c r="H12" s="51" t="n">
        <x:v>9342</x:v>
      </x:c>
      <x:c r="I12" s="45" t="str">
        <x:v>백만</x:v>
      </x:c>
      <x:c r="J12" s="49" t="n">
        <x:v>46282</x:v>
      </x:c>
      <x:c r="K12" s="45" t="str">
        <x:v>https://assets-ir.tesla.com/tesla-contents/IR/TSLA-Q2-2026-Update.pdf
https://www.google.com/finance/quote/TSLA:NASDAQ</x:v>
      </x:c>
      <x:c r="L12"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2" s="45" t="str">
        <x:v>Tesla.debt</x:v>
      </x:c>
    </x:row>
    <x:row r="13" ht="48" hidden="0" customHeight="1">
      <x:c r="A13" s="2"/>
      <x:c r="B13" s="2"/>
      <x:c r="C13" s="45" t="str">
        <x:v>Tesla</x:v>
      </x:c>
      <x:c r="D13" s="46" t="str">
        <x:v>TSLA</x:v>
      </x:c>
      <x:c r="E13" s="45" t="str">
        <x:v>USD</x:v>
      </x:c>
      <x:c r="F13" s="45" t="str">
        <x:v>2026 Q2</x:v>
      </x:c>
      <x:c r="G13" s="45" t="str">
        <x:v>영업현금흐름</x:v>
      </x:c>
      <x:c r="H13" s="51" t="n">
        <x:v>4697</x:v>
      </x:c>
      <x:c r="I13" s="45" t="str">
        <x:v>백만</x:v>
      </x:c>
      <x:c r="J13" s="49" t="n">
        <x:v>46282</x:v>
      </x:c>
      <x:c r="K13" s="45" t="str">
        <x:v>https://assets-ir.tesla.com/tesla-contents/IR/TSLA-Q2-2026-Update.pdf
https://www.google.com/finance/quote/TSLA:NASDAQ</x:v>
      </x:c>
      <x:c r="L13"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3" s="45" t="str">
        <x:v>Tesla.operating_cash_flow</x:v>
      </x:c>
    </x:row>
    <x:row r="14" ht="48" hidden="0" customHeight="1">
      <x:c r="A14" s="2"/>
      <x:c r="B14" s="2"/>
      <x:c r="C14" s="45" t="str">
        <x:v>Tesla</x:v>
      </x:c>
      <x:c r="D14" s="46" t="str">
        <x:v>TSLA</x:v>
      </x:c>
      <x:c r="E14" s="45" t="str">
        <x:v>USD</x:v>
      </x:c>
      <x:c r="F14" s="45" t="str">
        <x:v>2026 Q2</x:v>
      </x:c>
      <x:c r="G14" s="45" t="str">
        <x:v>설비·무형자산 투자</x:v>
      </x:c>
      <x:c r="H14" s="51" t="n">
        <x:v>5789</x:v>
      </x:c>
      <x:c r="I14" s="45" t="str">
        <x:v>백만</x:v>
      </x:c>
      <x:c r="J14" s="49" t="n">
        <x:v>46282</x:v>
      </x:c>
      <x:c r="K14" s="45" t="str">
        <x:v>https://assets-ir.tesla.com/tesla-contents/IR/TSLA-Q2-2026-Update.pdf
https://www.google.com/finance/quote/TSLA:NASDAQ</x:v>
      </x:c>
      <x:c r="L14"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4" s="45" t="str">
        <x:v>Tesla.capex</x:v>
      </x:c>
    </x:row>
    <x:row r="15" ht="48" hidden="0" customHeight="1">
      <x:c r="A15" s="2"/>
      <x:c r="B15" s="2"/>
      <x:c r="C15" s="45" t="str">
        <x:v>Tesla</x:v>
      </x:c>
      <x:c r="D15" s="46" t="str">
        <x:v>TSLA</x:v>
      </x:c>
      <x:c r="E15" s="45" t="str">
        <x:v>USD</x:v>
      </x:c>
      <x:c r="F15" s="45" t="str">
        <x:v>2026 Q2</x:v>
      </x:c>
      <x:c r="G15" s="45" t="str">
        <x:v>잉여현금흐름</x:v>
      </x:c>
      <x:c r="H15" s="51" t="n">
        <x:v>-1092</x:v>
      </x:c>
      <x:c r="I15" s="45" t="str">
        <x:v>백만</x:v>
      </x:c>
      <x:c r="J15" s="49" t="n">
        <x:v>46282</x:v>
      </x:c>
      <x:c r="K15" s="45" t="str">
        <x:v>https://assets-ir.tesla.com/tesla-contents/IR/TSLA-Q2-2026-Update.pdf
https://www.google.com/finance/quote/TSLA:NASDAQ</x:v>
      </x:c>
      <x:c r="L15"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5" s="45" t="str">
        <x:v>Tesla.free_cash_flow</x:v>
      </x:c>
    </x:row>
    <x:row r="16" ht="48" hidden="0" customHeight="1">
      <x:c r="A16" s="2"/>
      <x:c r="B16" s="2"/>
      <x:c r="C16" s="45" t="str">
        <x:v>Tesla</x:v>
      </x:c>
      <x:c r="D16" s="46" t="str">
        <x:v>TSLA</x:v>
      </x:c>
      <x:c r="E16" s="45" t="str">
        <x:v>USD</x:v>
      </x:c>
      <x:c r="F16" s="45" t="str">
        <x:v>2026 Q2, 3 months</x:v>
      </x:c>
      <x:c r="G16" s="45" t="str">
        <x:v>exchange</x:v>
      </x:c>
      <x:c r="H16" s="45" t="str">
        <x:v>Nasdaq</x:v>
      </x:c>
      <x:c r="I16" s="45" t="str">
        <x:v>원문 범위</x:v>
      </x:c>
      <x:c r="J16" s="49" t="n">
        <x:v>46282</x:v>
      </x:c>
      <x:c r="K16" s="45" t="str">
        <x:v>https://assets-ir.tesla.com/tesla-contents/IR/TSLA-Q2-2026-Update.pdf
https://www.google.com/finance/quote/TSLA:NASDAQ</x:v>
      </x:c>
      <x:c r="L16"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6" s="45" t="str">
        <x:v>Tesla.exchange</x:v>
      </x:c>
    </x:row>
    <x:row r="17" ht="48" hidden="0" customHeight="1">
      <x:c r="A17" s="2"/>
      <x:c r="B17" s="2"/>
      <x:c r="C17" s="45" t="str">
        <x:v>Tesla</x:v>
      </x:c>
      <x:c r="D17" s="46" t="str">
        <x:v>TSLA</x:v>
      </x:c>
      <x:c r="E17" s="45" t="str">
        <x:v>USD</x:v>
      </x:c>
      <x:c r="F17" s="45" t="str">
        <x:v>2026 Q2, 3 months</x:v>
      </x:c>
      <x:c r="G17" s="45" t="str">
        <x:v>listed_status</x:v>
      </x:c>
      <x:c r="H17" s="45" t="str">
        <x:v>listed_verified</x:v>
      </x:c>
      <x:c r="I17" s="45" t="str">
        <x:v>원문 범위</x:v>
      </x:c>
      <x:c r="J17" s="49" t="n">
        <x:v>46282</x:v>
      </x:c>
      <x:c r="K17" s="45" t="str">
        <x:v>https://assets-ir.tesla.com/tesla-contents/IR/TSLA-Q2-2026-Update.pdf
https://www.google.com/finance/quote/TSLA:NASDAQ</x:v>
      </x:c>
      <x:c r="L17"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7" s="45" t="str">
        <x:v>Tesla.listed_status</x:v>
      </x:c>
    </x:row>
    <x:row r="18" ht="48" hidden="0" customHeight="1">
      <x:c r="A18" s="2"/>
      <x:c r="B18" s="2"/>
      <x:c r="C18" s="45" t="str">
        <x:v>Tesla</x:v>
      </x:c>
      <x:c r="D18" s="46" t="str">
        <x:v>TSLA</x:v>
      </x:c>
      <x:c r="E18" s="45" t="str">
        <x:v>USD</x:v>
      </x:c>
      <x:c r="F18" s="45" t="str">
        <x:v>2026 Q2, 3 months</x:v>
      </x:c>
      <x:c r="G18" s="45" t="str">
        <x:v>as_of</x:v>
      </x:c>
      <x:c r="H18" s="45" t="str">
        <x:v>2026-09-17</x:v>
      </x:c>
      <x:c r="I18" s="45" t="str">
        <x:v>원문 범위</x:v>
      </x:c>
      <x:c r="J18" s="49" t="n">
        <x:v>46282</x:v>
      </x:c>
      <x:c r="K18" s="45" t="str">
        <x:v>https://assets-ir.tesla.com/tesla-contents/IR/TSLA-Q2-2026-Update.pdf
https://www.google.com/finance/quote/TSLA:NASDAQ</x:v>
      </x:c>
      <x:c r="L18"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8" s="45" t="str">
        <x:v>Tesla.as_of</x:v>
      </x:c>
    </x:row>
    <x:row r="19" ht="48" hidden="0" customHeight="1">
      <x:c r="A19" s="2"/>
      <x:c r="B19" s="2"/>
      <x:c r="C19" s="45" t="str">
        <x:v>Tesla</x:v>
      </x:c>
      <x:c r="D19" s="46" t="str">
        <x:v>TSLA</x:v>
      </x:c>
      <x:c r="E19" s="45" t="str">
        <x:v>USD</x:v>
      </x:c>
      <x:c r="F19" s="45" t="str">
        <x:v>2026 Q2, 3 months</x:v>
      </x:c>
      <x:c r="G19" s="45" t="str">
        <x:v>주가 관측 시점</x:v>
      </x:c>
      <x:c r="H19" s="45" t="str">
        <x:v>2026-09-16 US close</x:v>
      </x:c>
      <x:c r="I19" s="45" t="str">
        <x:v>원문 범위</x:v>
      </x:c>
      <x:c r="J19" s="49" t="n">
        <x:v>46282</x:v>
      </x:c>
      <x:c r="K19" s="45" t="str">
        <x:v>https://assets-ir.tesla.com/tesla-contents/IR/TSLA-Q2-2026-Update.pdf
https://www.google.com/finance/quote/TSLA:NASDAQ</x:v>
      </x:c>
      <x:c r="L19"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19" s="45" t="str">
        <x:v>Tesla.price_date</x:v>
      </x:c>
    </x:row>
    <x:row r="20" ht="48" hidden="0" customHeight="1">
      <x:c r="A20" s="2"/>
      <x:c r="B20" s="2"/>
      <x:c r="C20" s="45" t="str">
        <x:v>Tesla</x:v>
      </x:c>
      <x:c r="D20" s="46" t="str">
        <x:v>TSLA</x:v>
      </x:c>
      <x:c r="E20" s="45" t="str">
        <x:v>USD</x:v>
      </x:c>
      <x:c r="F20" s="45" t="str">
        <x:v>2026 Q2, 3 months</x:v>
      </x:c>
      <x:c r="G20" s="45" t="str">
        <x:v>price_currency</x:v>
      </x:c>
      <x:c r="H20" s="45" t="str">
        <x:v>USD</x:v>
      </x:c>
      <x:c r="I20" s="45" t="str">
        <x:v>원문 범위</x:v>
      </x:c>
      <x:c r="J20" s="49" t="n">
        <x:v>46282</x:v>
      </x:c>
      <x:c r="K20" s="45" t="str">
        <x:v>https://assets-ir.tesla.com/tesla-contents/IR/TSLA-Q2-2026-Update.pdf
https://www.google.com/finance/quote/TSLA:NASDAQ</x:v>
      </x:c>
      <x:c r="L20"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0" s="45" t="str">
        <x:v>Tesla.price_currency</x:v>
      </x:c>
    </x:row>
    <x:row r="21" ht="48" hidden="0" customHeight="1">
      <x:c r="A21" s="2"/>
      <x:c r="B21" s="2"/>
      <x:c r="C21" s="45" t="str">
        <x:v>Tesla</x:v>
      </x:c>
      <x:c r="D21" s="46" t="str">
        <x:v>TSLA</x:v>
      </x:c>
      <x:c r="E21" s="45" t="str">
        <x:v>USD</x:v>
      </x:c>
      <x:c r="F21" s="45" t="str">
        <x:v>2026-09-16 US close</x:v>
      </x:c>
      <x:c r="G21" s="45" t="str">
        <x:v>market_cap_currency</x:v>
      </x:c>
      <x:c r="H21" s="45" t="str">
        <x:v>USD</x:v>
      </x:c>
      <x:c r="I21" s="45" t="str">
        <x:v>원문 범위</x:v>
      </x:c>
      <x:c r="J21" s="49" t="n">
        <x:v>46282</x:v>
      </x:c>
      <x:c r="K21" s="45" t="str">
        <x:v>https://assets-ir.tesla.com/tesla-contents/IR/TSLA-Q2-2026-Update.pdf
https://www.google.com/finance/quote/TSLA:NASDAQ</x:v>
      </x:c>
      <x:c r="L21"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1" s="45" t="str">
        <x:v>Tesla.market_cap_currency</x:v>
      </x:c>
    </x:row>
    <x:row r="22" ht="48" hidden="0" customHeight="1">
      <x:c r="A22" s="2"/>
      <x:c r="B22" s="2"/>
      <x:c r="C22" s="45" t="str">
        <x:v>Tesla</x:v>
      </x:c>
      <x:c r="D22" s="46" t="str">
        <x:v>TSLA</x:v>
      </x:c>
      <x:c r="E22" s="45" t="str">
        <x:v>USD</x:v>
      </x:c>
      <x:c r="F22" s="45" t="str">
        <x:v>2026-09-16 US close</x:v>
      </x:c>
      <x:c r="G22" s="45" t="str">
        <x:v>market_cap_unit</x:v>
      </x:c>
      <x:c r="H22" s="45" t="str">
        <x:v>million</x:v>
      </x:c>
      <x:c r="I22" s="45" t="str">
        <x:v>원문 범위</x:v>
      </x:c>
      <x:c r="J22" s="49" t="n">
        <x:v>46282</x:v>
      </x:c>
      <x:c r="K22" s="45" t="str">
        <x:v>https://assets-ir.tesla.com/tesla-contents/IR/TSLA-Q2-2026-Update.pdf
https://www.google.com/finance/quote/TSLA:NASDAQ</x:v>
      </x:c>
      <x:c r="L22"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2" s="45" t="str">
        <x:v>Tesla.market_cap_unit</x:v>
      </x:c>
    </x:row>
    <x:row r="23" ht="48" hidden="0" customHeight="1">
      <x:c r="A23" s="2"/>
      <x:c r="B23" s="2"/>
      <x:c r="C23" s="45" t="str">
        <x:v>Tesla</x:v>
      </x:c>
      <x:c r="D23" s="46" t="str">
        <x:v>TSLA</x:v>
      </x:c>
      <x:c r="E23" s="45" t="str">
        <x:v>USD</x:v>
      </x:c>
      <x:c r="F23" s="45" t="str">
        <x:v>2026 Q2, 3 months</x:v>
      </x:c>
      <x:c r="G23" s="45" t="str">
        <x:v>실적 기간</x:v>
      </x:c>
      <x:c r="H23" s="45" t="str">
        <x:v>2026 Q2, 3 months</x:v>
      </x:c>
      <x:c r="I23" s="45" t="str">
        <x:v>원문 범위</x:v>
      </x:c>
      <x:c r="J23" s="49" t="n">
        <x:v>46282</x:v>
      </x:c>
      <x:c r="K23" s="45" t="str">
        <x:v>https://assets-ir.tesla.com/tesla-contents/IR/TSLA-Q2-2026-Update.pdf
https://www.google.com/finance/quote/TSLA:NASDAQ</x:v>
      </x:c>
      <x:c r="L23"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3" s="45" t="str">
        <x:v>Tesla.financial_period</x:v>
      </x:c>
    </x:row>
    <x:row r="24" ht="48" hidden="0" customHeight="1">
      <x:c r="A24" s="2"/>
      <x:c r="B24" s="2"/>
      <x:c r="C24" s="45" t="str">
        <x:v>Tesla</x:v>
      </x:c>
      <x:c r="D24" s="46" t="str">
        <x:v>TSLA</x:v>
      </x:c>
      <x:c r="E24" s="45" t="str">
        <x:v>USD</x:v>
      </x:c>
      <x:c r="F24" s="45" t="str">
        <x:v>2026 Q2, 3 months</x:v>
      </x:c>
      <x:c r="G24" s="45" t="str">
        <x:v>재무상태표 날짜</x:v>
      </x:c>
      <x:c r="H24" s="45" t="str">
        <x:v>2026-06-30</x:v>
      </x:c>
      <x:c r="I24" s="45" t="str">
        <x:v>원문 범위</x:v>
      </x:c>
      <x:c r="J24" s="49" t="n">
        <x:v>46282</x:v>
      </x:c>
      <x:c r="K24" s="45" t="str">
        <x:v>https://assets-ir.tesla.com/tesla-contents/IR/TSLA-Q2-2026-Update.pdf
https://www.google.com/finance/quote/TSLA:NASDAQ</x:v>
      </x:c>
      <x:c r="L24"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4" s="45" t="str">
        <x:v>Tesla.balance_sheet_date</x:v>
      </x:c>
    </x:row>
    <x:row r="25" ht="48" hidden="0" customHeight="1">
      <x:c r="A25" s="2"/>
      <x:c r="B25" s="2"/>
      <x:c r="C25" s="45" t="str">
        <x:v>Tesla</x:v>
      </x:c>
      <x:c r="D25" s="46" t="str">
        <x:v>TSLA</x:v>
      </x:c>
      <x:c r="E25" s="45" t="str">
        <x:v>USD</x:v>
      </x:c>
      <x:c r="F25" s="45" t="str">
        <x:v>2026 Q2, 3 months</x:v>
      </x:c>
      <x:c r="G25" s="45" t="str">
        <x:v>monetary_unit</x:v>
      </x:c>
      <x:c r="H25" s="45" t="str">
        <x:v>million</x:v>
      </x:c>
      <x:c r="I25" s="45" t="str">
        <x:v>원문 범위</x:v>
      </x:c>
      <x:c r="J25" s="49" t="n">
        <x:v>46282</x:v>
      </x:c>
      <x:c r="K25" s="45" t="str">
        <x:v>https://assets-ir.tesla.com/tesla-contents/IR/TSLA-Q2-2026-Update.pdf
https://www.google.com/finance/quote/TSLA:NASDAQ</x:v>
      </x:c>
      <x:c r="L25"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5" s="45" t="str">
        <x:v>Tesla.monetary_unit</x:v>
      </x:c>
    </x:row>
    <x:row r="26" ht="48" hidden="0" customHeight="1">
      <x:c r="A26" s="2"/>
      <x:c r="B26" s="2"/>
      <x:c r="C26" s="45" t="str">
        <x:v>Tesla</x:v>
      </x:c>
      <x:c r="D26" s="46" t="str">
        <x:v>TSLA</x:v>
      </x:c>
      <x:c r="E26" s="45" t="str">
        <x:v>USD</x:v>
      </x:c>
      <x:c r="F26" s="45" t="str">
        <x:v>2026 Q2, 3 months</x:v>
      </x:c>
      <x:c r="G26" s="45" t="str">
        <x:v>영업이익률</x:v>
      </x:c>
      <x:c r="H26" s="51" t="n">
        <x:v>1.4095480946309675</x:v>
      </x:c>
      <x:c r="I26" s="45" t="str">
        <x:v>%</x:v>
      </x:c>
      <x:c r="J26" s="49" t="n">
        <x:v>46282</x:v>
      </x:c>
      <x:c r="K26" s="45" t="str">
        <x:v>https://assets-ir.tesla.com/tesla-contents/IR/TSLA-Q2-2026-Update.pdf
https://www.google.com/finance/quote/TSLA:NASDAQ</x:v>
      </x:c>
      <x:c r="L26"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6" s="45" t="str">
        <x:v>Tesla.operating_margin_percent</x:v>
      </x:c>
    </x:row>
    <x:row r="27" ht="48" hidden="0" customHeight="1">
      <x:c r="A27" s="2"/>
      <x:c r="B27" s="2"/>
      <x:c r="C27" s="45" t="str">
        <x:v>Tesla</x:v>
      </x:c>
      <x:c r="D27" s="46" t="str">
        <x:v>TSLA</x:v>
      </x:c>
      <x:c r="E27" s="45" t="str">
        <x:v>USD</x:v>
      </x:c>
      <x:c r="F27" s="45" t="str">
        <x:v>2026 Q2, 3 months</x:v>
      </x:c>
      <x:c r="G27" s="45" t="str">
        <x:v>휴머노이드 매출 공개 범위</x:v>
      </x:c>
      <x:c r="H27" s="45" t="str">
        <x:v>not_separately_disclosed</x:v>
      </x:c>
      <x:c r="I27" s="45" t="str">
        <x:v>원문 범위</x:v>
      </x:c>
      <x:c r="J27" s="49" t="n">
        <x:v>46282</x:v>
      </x:c>
      <x:c r="K27" s="45" t="str">
        <x:v>https://assets-ir.tesla.com/tesla-contents/IR/TSLA-Q2-2026-Update.pdf
https://www.google.com/finance/quote/TSLA:NASDAQ</x:v>
      </x:c>
      <x:c r="L27"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7" s="45" t="str">
        <x:v>Tesla.humanoid_revenue_disclosed</x:v>
      </x:c>
    </x:row>
    <x:row r="28" ht="48" hidden="0" customHeight="1">
      <x:c r="A28" s="2"/>
      <x:c r="B28" s="2"/>
      <x:c r="C28" s="45" t="str">
        <x:v>Tesla</x:v>
      </x:c>
      <x:c r="D28" s="46" t="str">
        <x:v>TSLA</x:v>
      </x:c>
      <x:c r="E28" s="45" t="str">
        <x:v>USD</x:v>
      </x:c>
      <x:c r="F28" s="45" t="str">
        <x:v>2026 Q2, 3 months</x:v>
      </x:c>
      <x:c r="G28" s="45" t="str">
        <x:v>해석 조건·한계</x:v>
      </x:c>
      <x:c r="H28"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I28" s="45" t="str">
        <x:v>원문 범위</x:v>
      </x:c>
      <x:c r="J28" s="49" t="n">
        <x:v>46282</x:v>
      </x:c>
      <x:c r="K28" s="45" t="str">
        <x:v>https://assets-ir.tesla.com/tesla-contents/IR/TSLA-Q2-2026-Update.pdf
https://www.google.com/finance/quote/TSLA:NASDAQ</x:v>
      </x:c>
      <x:c r="L28"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8" s="45" t="str">
        <x:v>Tesla.notes</x:v>
      </x:c>
    </x:row>
    <x:row r="29" ht="48" hidden="0" customHeight="1">
      <x:c r="A29" s="2"/>
      <x:c r="B29" s="2"/>
      <x:c r="C29" s="45" t="str">
        <x:v>Tesla</x:v>
      </x:c>
      <x:c r="D29" s="46" t="str">
        <x:v>TSLA</x:v>
      </x:c>
      <x:c r="E29" s="45" t="str">
        <x:v>USD</x:v>
      </x:c>
      <x:c r="F29" s="45" t="str">
        <x:v>2026 Q2, 3 months</x:v>
      </x:c>
      <x:c r="G29" s="45" t="str">
        <x:v>현금 범위</x:v>
      </x:c>
      <x:c r="H29" s="45" t="str">
        <x:v>cash, cash equivalents and short-term investments</x:v>
      </x:c>
      <x:c r="I29" s="45" t="str">
        <x:v>원문 범위</x:v>
      </x:c>
      <x:c r="J29" s="49" t="n">
        <x:v>46282</x:v>
      </x:c>
      <x:c r="K29" s="45" t="str">
        <x:v>https://assets-ir.tesla.com/tesla-contents/IR/TSLA-Q2-2026-Update.pdf
https://www.google.com/finance/quote/TSLA:NASDAQ</x:v>
      </x:c>
      <x:c r="L29"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29" s="45" t="str">
        <x:v>Tesla.cash_scope</x:v>
      </x:c>
    </x:row>
    <x:row r="30" ht="48" hidden="0" customHeight="1">
      <x:c r="A30" s="2"/>
      <x:c r="B30" s="2"/>
      <x:c r="C30" s="45" t="str">
        <x:v>Tesla</x:v>
      </x:c>
      <x:c r="D30" s="46" t="str">
        <x:v>TSLA</x:v>
      </x:c>
      <x:c r="E30" s="45" t="str">
        <x:v>USD</x:v>
      </x:c>
      <x:c r="F30" s="45" t="str">
        <x:v>2026 Q2, 3 months</x:v>
      </x:c>
      <x:c r="G30" s="45" t="str">
        <x:v>차입금 범위</x:v>
      </x:c>
      <x:c r="H30" s="45" t="str">
        <x:v>current and noncurrent debt plus finance leases</x:v>
      </x:c>
      <x:c r="I30" s="45" t="str">
        <x:v>원문 범위</x:v>
      </x:c>
      <x:c r="J30" s="49" t="n">
        <x:v>46282</x:v>
      </x:c>
      <x:c r="K30" s="45" t="str">
        <x:v>https://assets-ir.tesla.com/tesla-contents/IR/TSLA-Q2-2026-Update.pdf
https://www.google.com/finance/quote/TSLA:NASDAQ</x:v>
      </x:c>
      <x:c r="L30"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30" s="45" t="str">
        <x:v>Tesla.debt_scope</x:v>
      </x:c>
    </x:row>
    <x:row r="31" ht="48" hidden="0" customHeight="1">
      <x:c r="A31" s="2"/>
      <x:c r="B31" s="2"/>
      <x:c r="C31" s="45" t="str">
        <x:v>Tesla</x:v>
      </x:c>
      <x:c r="D31" s="46" t="str">
        <x:v>TSLA</x:v>
      </x:c>
      <x:c r="E31" s="45" t="str">
        <x:v>USD</x:v>
      </x:c>
      <x:c r="F31" s="45" t="str">
        <x:v>2026 Q2, 3 months</x:v>
      </x:c>
      <x:c r="G31" s="45" t="str">
        <x:v>현금흐름 기간</x:v>
      </x:c>
      <x:c r="H31" s="45" t="str">
        <x:v>2026 Q2</x:v>
      </x:c>
      <x:c r="I31" s="45" t="str">
        <x:v>원문 범위</x:v>
      </x:c>
      <x:c r="J31" s="49" t="n">
        <x:v>46282</x:v>
      </x:c>
      <x:c r="K31" s="45" t="str">
        <x:v>https://assets-ir.tesla.com/tesla-contents/IR/TSLA-Q2-2026-Update.pdf
https://www.google.com/finance/quote/TSLA:NASDAQ</x:v>
      </x:c>
      <x:c r="L31"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31" s="45" t="str">
        <x:v>Tesla.cash_flow_period</x:v>
      </x:c>
    </x:row>
    <x:row r="32" ht="48" hidden="0" customHeight="1">
      <x:c r="A32" s="2"/>
      <x:c r="B32" s="2"/>
      <x:c r="C32" s="45" t="str">
        <x:v>Tesla</x:v>
      </x:c>
      <x:c r="D32" s="46" t="str">
        <x:v>TSLA</x:v>
      </x:c>
      <x:c r="E32" s="45" t="str">
        <x:v>USD</x:v>
      </x:c>
      <x:c r="F32" s="45" t="str">
        <x:v>2026 Q2, 3 months</x:v>
      </x:c>
      <x:c r="G32" s="45" t="str">
        <x:v>기준일 발행주식 수 검증 여부</x:v>
      </x:c>
      <x:c r="H32" s="45" t="str"/>
      <x:c r="I32" s="45" t="str">
        <x:v>원문 범위</x:v>
      </x:c>
      <x:c r="J32" s="49" t="n">
        <x:v>46282</x:v>
      </x:c>
      <x:c r="K32" s="45" t="str">
        <x:v>https://assets-ir.tesla.com/tesla-contents/IR/TSLA-Q2-2026-Update.pdf
https://www.google.com/finance/quote/TSLA:NASDAQ</x:v>
      </x:c>
      <x:c r="L32"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32" s="45" t="str">
        <x:v>Tesla.current_share_count_verified</x:v>
      </x:c>
    </x:row>
    <x:row r="33" ht="48" hidden="0" customHeight="1">
      <x:c r="A33" s="2"/>
      <x:c r="B33" s="2"/>
      <x:c r="C33" s="45" t="str">
        <x:v>Tesla</x:v>
      </x:c>
      <x:c r="D33" s="46" t="str">
        <x:v>TSLA</x:v>
      </x:c>
      <x:c r="E33" s="45" t="str">
        <x:v>USD</x:v>
      </x:c>
      <x:c r="F33" s="45" t="str">
        <x:v>2026 Q2, 3 months</x:v>
      </x:c>
      <x:c r="G33" s="45" t="str">
        <x:v>EPS용 기본 가중평균 주식 수</x:v>
      </x:c>
      <x:c r="H33" s="51" t="n">
        <x:v>3237</x:v>
      </x:c>
      <x:c r="I33" s="45" t="str">
        <x:v>백만 주</x:v>
      </x:c>
      <x:c r="J33" s="49" t="n">
        <x:v>46282</x:v>
      </x:c>
      <x:c r="K33" s="45" t="str">
        <x:v>https://assets-ir.tesla.com/tesla-contents/IR/TSLA-Q2-2026-Update.pdf
https://www.google.com/finance/quote/TSLA:NASDAQ</x:v>
      </x:c>
      <x:c r="L33"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33" s="45" t="str">
        <x:v>Tesla.eps_basic_weighted_average_shares_million</x:v>
      </x:c>
    </x:row>
    <x:row r="34" ht="48" hidden="0" customHeight="1">
      <x:c r="A34" s="2"/>
      <x:c r="B34" s="2"/>
      <x:c r="C34" s="45" t="str">
        <x:v>Tesla</x:v>
      </x:c>
      <x:c r="D34" s="46" t="str">
        <x:v>TSLA</x:v>
      </x:c>
      <x:c r="E34" s="45" t="str">
        <x:v>USD</x:v>
      </x:c>
      <x:c r="F34" s="45" t="str">
        <x:v>2026 Q2, 3 months</x:v>
      </x:c>
      <x:c r="G34" s="45" t="str">
        <x:v>EPS용 희석 가중평균 주식 수</x:v>
      </x:c>
      <x:c r="H34" s="51" t="n">
        <x:v>3540</x:v>
      </x:c>
      <x:c r="I34" s="45" t="str">
        <x:v>백만 주</x:v>
      </x:c>
      <x:c r="J34" s="49" t="n">
        <x:v>46282</x:v>
      </x:c>
      <x:c r="K34" s="45" t="str">
        <x:v>https://assets-ir.tesla.com/tesla-contents/IR/TSLA-Q2-2026-Update.pdf
https://www.google.com/finance/quote/TSLA:NASDAQ</x:v>
      </x:c>
      <x:c r="L34"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34" s="45" t="str">
        <x:v>Tesla.eps_diluted_weighted_average_shares_million</x:v>
      </x:c>
    </x:row>
    <x:row r="35" ht="48" hidden="0" customHeight="1">
      <x:c r="A35" s="2"/>
      <x:c r="B35" s="2"/>
      <x:c r="C35" s="45" t="str">
        <x:v>Tesla</x:v>
      </x:c>
      <x:c r="D35" s="46" t="str">
        <x:v>TSLA</x:v>
      </x:c>
      <x:c r="E35" s="45" t="str">
        <x:v>USD</x:v>
      </x:c>
      <x:c r="F35" s="45" t="str">
        <x:v>2026-09-16 US close</x:v>
      </x:c>
      <x:c r="G35" s="45" t="str">
        <x:v>시가총액 확인 범위</x:v>
      </x:c>
      <x:c r="H35" s="45" t="str">
        <x:v>unavailable_due_to_conflicting_provider_share_counts</x:v>
      </x:c>
      <x:c r="I35" s="45" t="str">
        <x:v>원문 범위</x:v>
      </x:c>
      <x:c r="J35" s="49" t="n">
        <x:v>46282</x:v>
      </x:c>
      <x:c r="K35" s="45" t="str">
        <x:v>https://assets-ir.tesla.com/tesla-contents/IR/TSLA-Q2-2026-Update.pdf
https://www.google.com/finance/quote/TSLA:NASDAQ</x:v>
      </x:c>
      <x:c r="L35" s="45" t="str">
        <x:v>Q2 EPS weighted-average shares are not September shares outstanding; used only as explicitly labeled scenario assumptions.
No Optimus-specific revenue, profit or capital expenditure disclosed in the Q2 deck.
Other businesses compete for corporate cash; negative quarterly FCF is not solely Optimus burn.</x:v>
      </x:c>
      <x:c r="M35" s="45" t="str">
        <x:v>Tesla.market_cap_status</x:v>
      </x:c>
    </x:row>
    <x:row r="36" ht="36" hidden="0" customHeight="1">
      <x:c r="A36" s="2"/>
      <x:c r="B36" s="2"/>
      <x:c r="C36" s="45" t="str">
        <x:v>NVIDIA</x:v>
      </x:c>
      <x:c r="D36" s="46" t="str">
        <x:v>NVDA</x:v>
      </x:c>
      <x:c r="E36" s="45" t="str">
        <x:v>USD</x:v>
      </x:c>
      <x:c r="F36" s="45" t="str">
        <x:v>2026-09-16 US close</x:v>
      </x:c>
      <x:c r="G36" s="45" t="str">
        <x:v>주가</x:v>
      </x:c>
      <x:c r="H36" s="51" t="n">
        <x:v>213.9</x:v>
      </x:c>
      <x:c r="I36" s="45" t="str">
        <x:v>통화/주</x:v>
      </x:c>
      <x:c r="J36" s="49" t="n">
        <x:v>46282</x:v>
      </x:c>
      <x:c r="K36" s="45" t="str">
        <x:v>https://nvidianews.nvidia.com/news/nvidia-announces-financial-results-for-second-quarter-fiscal-2027
https://www.google.com/finance/quote/NVDA:NASDAQ</x:v>
      </x:c>
      <x:c r="L36" s="45" t="str">
        <x:v>Data Center or total AI revenue cannot be equated with humanoid revenue.
Q2 new debt proceeds and investment valuation gains affect liquidity and net income separately from operations.</x:v>
      </x:c>
      <x:c r="M36" s="45" t="str">
        <x:v>NVIDIA.price</x:v>
      </x:c>
    </x:row>
    <x:row r="37" ht="36" hidden="0" customHeight="1">
      <x:c r="A37" s="2"/>
      <x:c r="B37" s="2"/>
      <x:c r="C37" s="45" t="str">
        <x:v>NVIDIA</x:v>
      </x:c>
      <x:c r="D37" s="46" t="str">
        <x:v>NVDA</x:v>
      </x:c>
      <x:c r="E37" s="45" t="str">
        <x:v>USD</x:v>
      </x:c>
      <x:c r="F37" s="45" t="str">
        <x:v>2026-09-16 US close</x:v>
      </x:c>
      <x:c r="G37" s="45" t="str">
        <x:v>시가총액</x:v>
      </x:c>
      <x:c r="H37" s="51" t="n">
        <x:v>5150000</x:v>
      </x:c>
      <x:c r="I37" s="45" t="str">
        <x:v>백만</x:v>
      </x:c>
      <x:c r="J37" s="49" t="n">
        <x:v>46282</x:v>
      </x:c>
      <x:c r="K37" s="45" t="str">
        <x:v>https://nvidianews.nvidia.com/news/nvidia-announces-financial-results-for-second-quarter-fiscal-2027
https://www.google.com/finance/quote/NVDA:NASDAQ</x:v>
      </x:c>
      <x:c r="L37" s="45" t="str">
        <x:v>Data Center or total AI revenue cannot be equated with humanoid revenue.
Q2 new debt proceeds and investment valuation gains affect liquidity and net income separately from operations.</x:v>
      </x:c>
      <x:c r="M37" s="45" t="str">
        <x:v>NVIDIA.market_cap</x:v>
      </x:c>
    </x:row>
    <x:row r="38" ht="36" hidden="0" customHeight="1">
      <x:c r="A38" s="2"/>
      <x:c r="B38" s="2"/>
      <x:c r="C38" s="45" t="str">
        <x:v>NVIDIA</x:v>
      </x:c>
      <x:c r="D38" s="46" t="str">
        <x:v>NVDA</x:v>
      </x:c>
      <x:c r="E38" s="45" t="str">
        <x:v>USD</x:v>
      </x:c>
      <x:c r="F38" s="45" t="str">
        <x:v>FY2027 Q2, 3 months</x:v>
      </x:c>
      <x:c r="G38" s="45" t="str">
        <x:v>매출</x:v>
      </x:c>
      <x:c r="H38" s="51" t="n">
        <x:v>96221</x:v>
      </x:c>
      <x:c r="I38" s="45" t="str">
        <x:v>백만</x:v>
      </x:c>
      <x:c r="J38" s="49" t="n">
        <x:v>46282</x:v>
      </x:c>
      <x:c r="K38" s="45" t="str">
        <x:v>https://nvidianews.nvidia.com/news/nvidia-announces-financial-results-for-second-quarter-fiscal-2027
https://www.google.com/finance/quote/NVDA:NASDAQ</x:v>
      </x:c>
      <x:c r="L38" s="45" t="str">
        <x:v>Data Center or total AI revenue cannot be equated with humanoid revenue.
Q2 new debt proceeds and investment valuation gains affect liquidity and net income separately from operations.</x:v>
      </x:c>
      <x:c r="M38" s="45" t="str">
        <x:v>NVIDIA.revenue</x:v>
      </x:c>
    </x:row>
    <x:row r="39" ht="36" hidden="0" customHeight="1">
      <x:c r="A39" s="2"/>
      <x:c r="B39" s="2"/>
      <x:c r="C39" s="45" t="str">
        <x:v>NVIDIA</x:v>
      </x:c>
      <x:c r="D39" s="46" t="str">
        <x:v>NVDA</x:v>
      </x:c>
      <x:c r="E39" s="45" t="str">
        <x:v>USD</x:v>
      </x:c>
      <x:c r="F39" s="45" t="str">
        <x:v>FY2027 Q2, 3 months</x:v>
      </x:c>
      <x:c r="G39" s="45" t="str">
        <x:v>영업이익</x:v>
      </x:c>
      <x:c r="H39" s="51" t="n">
        <x:v>63734</x:v>
      </x:c>
      <x:c r="I39" s="45" t="str">
        <x:v>백만</x:v>
      </x:c>
      <x:c r="J39" s="49" t="n">
        <x:v>46282</x:v>
      </x:c>
      <x:c r="K39" s="45" t="str">
        <x:v>https://nvidianews.nvidia.com/news/nvidia-announces-financial-results-for-second-quarter-fiscal-2027
https://www.google.com/finance/quote/NVDA:NASDAQ</x:v>
      </x:c>
      <x:c r="L39" s="45" t="str">
        <x:v>Data Center or total AI revenue cannot be equated with humanoid revenue.
Q2 new debt proceeds and investment valuation gains affect liquidity and net income separately from operations.</x:v>
      </x:c>
      <x:c r="M39" s="45" t="str">
        <x:v>NVIDIA.operating_profit</x:v>
      </x:c>
    </x:row>
    <x:row r="40" ht="36" hidden="0" customHeight="1">
      <x:c r="A40" s="2"/>
      <x:c r="B40" s="2"/>
      <x:c r="C40" s="45" t="str">
        <x:v>NVIDIA</x:v>
      </x:c>
      <x:c r="D40" s="46" t="str">
        <x:v>NVDA</x:v>
      </x:c>
      <x:c r="E40" s="45" t="str">
        <x:v>USD</x:v>
      </x:c>
      <x:c r="F40" s="45" t="str">
        <x:v>2026-07-26</x:v>
      </x:c>
      <x:c r="G40" s="45" t="str">
        <x:v>현금</x:v>
      </x:c>
      <x:c r="H40" s="51" t="n">
        <x:v>22443</x:v>
      </x:c>
      <x:c r="I40" s="45" t="str">
        <x:v>백만</x:v>
      </x:c>
      <x:c r="J40" s="49" t="n">
        <x:v>46282</x:v>
      </x:c>
      <x:c r="K40" s="45" t="str">
        <x:v>https://nvidianews.nvidia.com/news/nvidia-announces-financial-results-for-second-quarter-fiscal-2027
https://www.google.com/finance/quote/NVDA:NASDAQ</x:v>
      </x:c>
      <x:c r="L40" s="45" t="str">
        <x:v>Data Center or total AI revenue cannot be equated with humanoid revenue.
Q2 new debt proceeds and investment valuation gains affect liquidity and net income separately from operations.</x:v>
      </x:c>
      <x:c r="M40" s="45" t="str">
        <x:v>NVIDIA.cash</x:v>
      </x:c>
    </x:row>
    <x:row r="41" ht="36" hidden="0" customHeight="1">
      <x:c r="A41" s="2"/>
      <x:c r="B41" s="2"/>
      <x:c r="C41" s="45" t="str">
        <x:v>NVIDIA</x:v>
      </x:c>
      <x:c r="D41" s="46" t="str">
        <x:v>NVDA</x:v>
      </x:c>
      <x:c r="E41" s="45" t="str">
        <x:v>USD</x:v>
      </x:c>
      <x:c r="F41" s="45" t="str">
        <x:v>2026-07-26</x:v>
      </x:c>
      <x:c r="G41" s="45" t="str">
        <x:v>차입금</x:v>
      </x:c>
      <x:c r="H41" s="51" t="n">
        <x:v>33366</x:v>
      </x:c>
      <x:c r="I41" s="45" t="str">
        <x:v>백만</x:v>
      </x:c>
      <x:c r="J41" s="49" t="n">
        <x:v>46282</x:v>
      </x:c>
      <x:c r="K41" s="45" t="str">
        <x:v>https://nvidianews.nvidia.com/news/nvidia-announces-financial-results-for-second-quarter-fiscal-2027
https://www.google.com/finance/quote/NVDA:NASDAQ</x:v>
      </x:c>
      <x:c r="L41" s="45" t="str">
        <x:v>Data Center or total AI revenue cannot be equated with humanoid revenue.
Q2 new debt proceeds and investment valuation gains affect liquidity and net income separately from operations.</x:v>
      </x:c>
      <x:c r="M41" s="45" t="str">
        <x:v>NVIDIA.debt</x:v>
      </x:c>
    </x:row>
    <x:row r="42" ht="36" hidden="0" customHeight="1">
      <x:c r="A42" s="2"/>
      <x:c r="B42" s="2"/>
      <x:c r="C42" s="45" t="str">
        <x:v>NVIDIA</x:v>
      </x:c>
      <x:c r="D42" s="46" t="str">
        <x:v>NVDA</x:v>
      </x:c>
      <x:c r="E42" s="45" t="str">
        <x:v>USD</x:v>
      </x:c>
      <x:c r="F42" s="45" t="str">
        <x:v>FY2027 Q2</x:v>
      </x:c>
      <x:c r="G42" s="45" t="str">
        <x:v>영업현금흐름</x:v>
      </x:c>
      <x:c r="H42" s="51" t="n">
        <x:v>24077</x:v>
      </x:c>
      <x:c r="I42" s="45" t="str">
        <x:v>백만</x:v>
      </x:c>
      <x:c r="J42" s="49" t="n">
        <x:v>46282</x:v>
      </x:c>
      <x:c r="K42" s="45" t="str">
        <x:v>https://nvidianews.nvidia.com/news/nvidia-announces-financial-results-for-second-quarter-fiscal-2027
https://www.google.com/finance/quote/NVDA:NASDAQ</x:v>
      </x:c>
      <x:c r="L42" s="45" t="str">
        <x:v>Data Center or total AI revenue cannot be equated with humanoid revenue.
Q2 new debt proceeds and investment valuation gains affect liquidity and net income separately from operations.</x:v>
      </x:c>
      <x:c r="M42" s="45" t="str">
        <x:v>NVIDIA.operating_cash_flow</x:v>
      </x:c>
    </x:row>
    <x:row r="43" ht="36" hidden="0" customHeight="1">
      <x:c r="A43" s="2"/>
      <x:c r="B43" s="2"/>
      <x:c r="C43" s="45" t="str">
        <x:v>NVIDIA</x:v>
      </x:c>
      <x:c r="D43" s="46" t="str">
        <x:v>NVDA</x:v>
      </x:c>
      <x:c r="E43" s="45" t="str">
        <x:v>USD</x:v>
      </x:c>
      <x:c r="F43" s="45" t="str">
        <x:v>FY2027 Q2</x:v>
      </x:c>
      <x:c r="G43" s="45" t="str">
        <x:v>설비·무형자산 투자</x:v>
      </x:c>
      <x:c r="H43" s="51" t="n">
        <x:v>2677</x:v>
      </x:c>
      <x:c r="I43" s="45" t="str">
        <x:v>백만</x:v>
      </x:c>
      <x:c r="J43" s="49" t="n">
        <x:v>46282</x:v>
      </x:c>
      <x:c r="K43" s="45" t="str">
        <x:v>https://nvidianews.nvidia.com/news/nvidia-announces-financial-results-for-second-quarter-fiscal-2027
https://www.google.com/finance/quote/NVDA:NASDAQ</x:v>
      </x:c>
      <x:c r="L43" s="45" t="str">
        <x:v>Data Center or total AI revenue cannot be equated with humanoid revenue.
Q2 new debt proceeds and investment valuation gains affect liquidity and net income separately from operations.</x:v>
      </x:c>
      <x:c r="M43" s="45" t="str">
        <x:v>NVIDIA.capex</x:v>
      </x:c>
    </x:row>
    <x:row r="44" ht="36" hidden="0" customHeight="1">
      <x:c r="A44" s="2"/>
      <x:c r="B44" s="2"/>
      <x:c r="C44" s="45" t="str">
        <x:v>NVIDIA</x:v>
      </x:c>
      <x:c r="D44" s="46" t="str">
        <x:v>NVDA</x:v>
      </x:c>
      <x:c r="E44" s="45" t="str">
        <x:v>USD</x:v>
      </x:c>
      <x:c r="F44" s="45" t="str">
        <x:v>FY2027 Q2</x:v>
      </x:c>
      <x:c r="G44" s="45" t="str">
        <x:v>잉여현금흐름</x:v>
      </x:c>
      <x:c r="H44" s="51" t="n">
        <x:v>21341</x:v>
      </x:c>
      <x:c r="I44" s="45" t="str">
        <x:v>백만</x:v>
      </x:c>
      <x:c r="J44" s="49" t="n">
        <x:v>46282</x:v>
      </x:c>
      <x:c r="K44" s="45" t="str">
        <x:v>https://nvidianews.nvidia.com/news/nvidia-announces-financial-results-for-second-quarter-fiscal-2027
https://www.google.com/finance/quote/NVDA:NASDAQ</x:v>
      </x:c>
      <x:c r="L44" s="45" t="str">
        <x:v>Data Center or total AI revenue cannot be equated with humanoid revenue.
Q2 new debt proceeds and investment valuation gains affect liquidity and net income separately from operations.</x:v>
      </x:c>
      <x:c r="M44" s="45" t="str">
        <x:v>NVIDIA.free_cash_flow</x:v>
      </x:c>
    </x:row>
    <x:row r="45" ht="36" hidden="0" customHeight="1">
      <x:c r="A45" s="2"/>
      <x:c r="B45" s="2"/>
      <x:c r="C45" s="45" t="str">
        <x:v>NVIDIA</x:v>
      </x:c>
      <x:c r="D45" s="46" t="str">
        <x:v>NVDA</x:v>
      </x:c>
      <x:c r="E45" s="45" t="str">
        <x:v>USD</x:v>
      </x:c>
      <x:c r="F45" s="45" t="str">
        <x:v>FY2027 Q2, 3 months</x:v>
      </x:c>
      <x:c r="G45" s="45" t="str">
        <x:v>exchange</x:v>
      </x:c>
      <x:c r="H45" s="45" t="str">
        <x:v>Nasdaq</x:v>
      </x:c>
      <x:c r="I45" s="45" t="str">
        <x:v>원문 범위</x:v>
      </x:c>
      <x:c r="J45" s="49" t="n">
        <x:v>46282</x:v>
      </x:c>
      <x:c r="K45" s="45" t="str">
        <x:v>https://nvidianews.nvidia.com/news/nvidia-announces-financial-results-for-second-quarter-fiscal-2027
https://www.google.com/finance/quote/NVDA:NASDAQ</x:v>
      </x:c>
      <x:c r="L45" s="45" t="str">
        <x:v>Data Center or total AI revenue cannot be equated with humanoid revenue.
Q2 new debt proceeds and investment valuation gains affect liquidity and net income separately from operations.</x:v>
      </x:c>
      <x:c r="M45" s="45" t="str">
        <x:v>NVIDIA.exchange</x:v>
      </x:c>
    </x:row>
    <x:row r="46" ht="36" hidden="0" customHeight="1">
      <x:c r="A46" s="2"/>
      <x:c r="B46" s="2"/>
      <x:c r="C46" s="45" t="str">
        <x:v>NVIDIA</x:v>
      </x:c>
      <x:c r="D46" s="46" t="str">
        <x:v>NVDA</x:v>
      </x:c>
      <x:c r="E46" s="45" t="str">
        <x:v>USD</x:v>
      </x:c>
      <x:c r="F46" s="45" t="str">
        <x:v>FY2027 Q2, 3 months</x:v>
      </x:c>
      <x:c r="G46" s="45" t="str">
        <x:v>listed_status</x:v>
      </x:c>
      <x:c r="H46" s="45" t="str">
        <x:v>listed_verified</x:v>
      </x:c>
      <x:c r="I46" s="45" t="str">
        <x:v>원문 범위</x:v>
      </x:c>
      <x:c r="J46" s="49" t="n">
        <x:v>46282</x:v>
      </x:c>
      <x:c r="K46" s="45" t="str">
        <x:v>https://nvidianews.nvidia.com/news/nvidia-announces-financial-results-for-second-quarter-fiscal-2027
https://www.google.com/finance/quote/NVDA:NASDAQ</x:v>
      </x:c>
      <x:c r="L46" s="45" t="str">
        <x:v>Data Center or total AI revenue cannot be equated with humanoid revenue.
Q2 new debt proceeds and investment valuation gains affect liquidity and net income separately from operations.</x:v>
      </x:c>
      <x:c r="M46" s="45" t="str">
        <x:v>NVIDIA.listed_status</x:v>
      </x:c>
    </x:row>
    <x:row r="47" ht="36" hidden="0" customHeight="1">
      <x:c r="A47" s="2"/>
      <x:c r="B47" s="2"/>
      <x:c r="C47" s="45" t="str">
        <x:v>NVIDIA</x:v>
      </x:c>
      <x:c r="D47" s="46" t="str">
        <x:v>NVDA</x:v>
      </x:c>
      <x:c r="E47" s="45" t="str">
        <x:v>USD</x:v>
      </x:c>
      <x:c r="F47" s="45" t="str">
        <x:v>FY2027 Q2, 3 months</x:v>
      </x:c>
      <x:c r="G47" s="45" t="str">
        <x:v>as_of</x:v>
      </x:c>
      <x:c r="H47" s="45" t="str">
        <x:v>2026-09-17</x:v>
      </x:c>
      <x:c r="I47" s="45" t="str">
        <x:v>원문 범위</x:v>
      </x:c>
      <x:c r="J47" s="49" t="n">
        <x:v>46282</x:v>
      </x:c>
      <x:c r="K47" s="45" t="str">
        <x:v>https://nvidianews.nvidia.com/news/nvidia-announces-financial-results-for-second-quarter-fiscal-2027
https://www.google.com/finance/quote/NVDA:NASDAQ</x:v>
      </x:c>
      <x:c r="L47" s="45" t="str">
        <x:v>Data Center or total AI revenue cannot be equated with humanoid revenue.
Q2 new debt proceeds and investment valuation gains affect liquidity and net income separately from operations.</x:v>
      </x:c>
      <x:c r="M47" s="45" t="str">
        <x:v>NVIDIA.as_of</x:v>
      </x:c>
    </x:row>
    <x:row r="48" ht="36" hidden="0" customHeight="1">
      <x:c r="A48" s="2"/>
      <x:c r="B48" s="2"/>
      <x:c r="C48" s="45" t="str">
        <x:v>NVIDIA</x:v>
      </x:c>
      <x:c r="D48" s="46" t="str">
        <x:v>NVDA</x:v>
      </x:c>
      <x:c r="E48" s="45" t="str">
        <x:v>USD</x:v>
      </x:c>
      <x:c r="F48" s="45" t="str">
        <x:v>FY2027 Q2, 3 months</x:v>
      </x:c>
      <x:c r="G48" s="45" t="str">
        <x:v>주가 관측 시점</x:v>
      </x:c>
      <x:c r="H48" s="45" t="str">
        <x:v>2026-09-16 US close</x:v>
      </x:c>
      <x:c r="I48" s="45" t="str">
        <x:v>원문 범위</x:v>
      </x:c>
      <x:c r="J48" s="49" t="n">
        <x:v>46282</x:v>
      </x:c>
      <x:c r="K48" s="45" t="str">
        <x:v>https://nvidianews.nvidia.com/news/nvidia-announces-financial-results-for-second-quarter-fiscal-2027
https://www.google.com/finance/quote/NVDA:NASDAQ</x:v>
      </x:c>
      <x:c r="L48" s="45" t="str">
        <x:v>Data Center or total AI revenue cannot be equated with humanoid revenue.
Q2 new debt proceeds and investment valuation gains affect liquidity and net income separately from operations.</x:v>
      </x:c>
      <x:c r="M48" s="45" t="str">
        <x:v>NVIDIA.price_date</x:v>
      </x:c>
    </x:row>
    <x:row r="49" ht="36" hidden="0" customHeight="1">
      <x:c r="A49" s="2"/>
      <x:c r="B49" s="2"/>
      <x:c r="C49" s="45" t="str">
        <x:v>NVIDIA</x:v>
      </x:c>
      <x:c r="D49" s="46" t="str">
        <x:v>NVDA</x:v>
      </x:c>
      <x:c r="E49" s="45" t="str">
        <x:v>USD</x:v>
      </x:c>
      <x:c r="F49" s="45" t="str">
        <x:v>FY2027 Q2, 3 months</x:v>
      </x:c>
      <x:c r="G49" s="45" t="str">
        <x:v>price_currency</x:v>
      </x:c>
      <x:c r="H49" s="45" t="str">
        <x:v>USD</x:v>
      </x:c>
      <x:c r="I49" s="45" t="str">
        <x:v>원문 범위</x:v>
      </x:c>
      <x:c r="J49" s="49" t="n">
        <x:v>46282</x:v>
      </x:c>
      <x:c r="K49" s="45" t="str">
        <x:v>https://nvidianews.nvidia.com/news/nvidia-announces-financial-results-for-second-quarter-fiscal-2027
https://www.google.com/finance/quote/NVDA:NASDAQ</x:v>
      </x:c>
      <x:c r="L49" s="45" t="str">
        <x:v>Data Center or total AI revenue cannot be equated with humanoid revenue.
Q2 new debt proceeds and investment valuation gains affect liquidity and net income separately from operations.</x:v>
      </x:c>
      <x:c r="M49" s="45" t="str">
        <x:v>NVIDIA.price_currency</x:v>
      </x:c>
    </x:row>
    <x:row r="50" ht="36" hidden="0" customHeight="1">
      <x:c r="A50" s="2"/>
      <x:c r="B50" s="2"/>
      <x:c r="C50" s="45" t="str">
        <x:v>NVIDIA</x:v>
      </x:c>
      <x:c r="D50" s="46" t="str">
        <x:v>NVDA</x:v>
      </x:c>
      <x:c r="E50" s="45" t="str">
        <x:v>USD</x:v>
      </x:c>
      <x:c r="F50" s="45" t="str">
        <x:v>2026-09-16 US close</x:v>
      </x:c>
      <x:c r="G50" s="45" t="str">
        <x:v>market_cap_currency</x:v>
      </x:c>
      <x:c r="H50" s="45" t="str">
        <x:v>USD</x:v>
      </x:c>
      <x:c r="I50" s="45" t="str">
        <x:v>원문 범위</x:v>
      </x:c>
      <x:c r="J50" s="49" t="n">
        <x:v>46282</x:v>
      </x:c>
      <x:c r="K50" s="45" t="str">
        <x:v>https://nvidianews.nvidia.com/news/nvidia-announces-financial-results-for-second-quarter-fiscal-2027
https://www.google.com/finance/quote/NVDA:NASDAQ</x:v>
      </x:c>
      <x:c r="L50" s="45" t="str">
        <x:v>Data Center or total AI revenue cannot be equated with humanoid revenue.
Q2 new debt proceeds and investment valuation gains affect liquidity and net income separately from operations.</x:v>
      </x:c>
      <x:c r="M50" s="45" t="str">
        <x:v>NVIDIA.market_cap_currency</x:v>
      </x:c>
    </x:row>
    <x:row r="51" ht="36" hidden="0" customHeight="1">
      <x:c r="A51" s="2"/>
      <x:c r="B51" s="2"/>
      <x:c r="C51" s="45" t="str">
        <x:v>NVIDIA</x:v>
      </x:c>
      <x:c r="D51" s="46" t="str">
        <x:v>NVDA</x:v>
      </x:c>
      <x:c r="E51" s="45" t="str">
        <x:v>USD</x:v>
      </x:c>
      <x:c r="F51" s="45" t="str">
        <x:v>2026-09-16 US close</x:v>
      </x:c>
      <x:c r="G51" s="45" t="str">
        <x:v>market_cap_unit</x:v>
      </x:c>
      <x:c r="H51" s="45" t="str">
        <x:v>million</x:v>
      </x:c>
      <x:c r="I51" s="45" t="str">
        <x:v>원문 범위</x:v>
      </x:c>
      <x:c r="J51" s="49" t="n">
        <x:v>46282</x:v>
      </x:c>
      <x:c r="K51" s="45" t="str">
        <x:v>https://nvidianews.nvidia.com/news/nvidia-announces-financial-results-for-second-quarter-fiscal-2027
https://www.google.com/finance/quote/NVDA:NASDAQ</x:v>
      </x:c>
      <x:c r="L51" s="45" t="str">
        <x:v>Data Center or total AI revenue cannot be equated with humanoid revenue.
Q2 new debt proceeds and investment valuation gains affect liquidity and net income separately from operations.</x:v>
      </x:c>
      <x:c r="M51" s="45" t="str">
        <x:v>NVIDIA.market_cap_unit</x:v>
      </x:c>
    </x:row>
    <x:row r="52" ht="36" hidden="0" customHeight="1">
      <x:c r="A52" s="2"/>
      <x:c r="B52" s="2"/>
      <x:c r="C52" s="45" t="str">
        <x:v>NVIDIA</x:v>
      </x:c>
      <x:c r="D52" s="46" t="str">
        <x:v>NVDA</x:v>
      </x:c>
      <x:c r="E52" s="45" t="str">
        <x:v>USD</x:v>
      </x:c>
      <x:c r="F52" s="45" t="str">
        <x:v>FY2027 Q2, 3 months</x:v>
      </x:c>
      <x:c r="G52" s="45" t="str">
        <x:v>실적 기간</x:v>
      </x:c>
      <x:c r="H52" s="45" t="str">
        <x:v>FY2027 Q2, 3 months</x:v>
      </x:c>
      <x:c r="I52" s="45" t="str">
        <x:v>원문 범위</x:v>
      </x:c>
      <x:c r="J52" s="49" t="n">
        <x:v>46282</x:v>
      </x:c>
      <x:c r="K52" s="45" t="str">
        <x:v>https://nvidianews.nvidia.com/news/nvidia-announces-financial-results-for-second-quarter-fiscal-2027
https://www.google.com/finance/quote/NVDA:NASDAQ</x:v>
      </x:c>
      <x:c r="L52" s="45" t="str">
        <x:v>Data Center or total AI revenue cannot be equated with humanoid revenue.
Q2 new debt proceeds and investment valuation gains affect liquidity and net income separately from operations.</x:v>
      </x:c>
      <x:c r="M52" s="45" t="str">
        <x:v>NVIDIA.financial_period</x:v>
      </x:c>
    </x:row>
    <x:row r="53" ht="36" hidden="0" customHeight="1">
      <x:c r="A53" s="2"/>
      <x:c r="B53" s="2"/>
      <x:c r="C53" s="45" t="str">
        <x:v>NVIDIA</x:v>
      </x:c>
      <x:c r="D53" s="46" t="str">
        <x:v>NVDA</x:v>
      </x:c>
      <x:c r="E53" s="45" t="str">
        <x:v>USD</x:v>
      </x:c>
      <x:c r="F53" s="45" t="str">
        <x:v>FY2027 Q2, 3 months</x:v>
      </x:c>
      <x:c r="G53" s="45" t="str">
        <x:v>재무상태표 날짜</x:v>
      </x:c>
      <x:c r="H53" s="45" t="str">
        <x:v>2026-07-26</x:v>
      </x:c>
      <x:c r="I53" s="45" t="str">
        <x:v>원문 범위</x:v>
      </x:c>
      <x:c r="J53" s="49" t="n">
        <x:v>46282</x:v>
      </x:c>
      <x:c r="K53" s="45" t="str">
        <x:v>https://nvidianews.nvidia.com/news/nvidia-announces-financial-results-for-second-quarter-fiscal-2027
https://www.google.com/finance/quote/NVDA:NASDAQ</x:v>
      </x:c>
      <x:c r="L53" s="45" t="str">
        <x:v>Data Center or total AI revenue cannot be equated with humanoid revenue.
Q2 new debt proceeds and investment valuation gains affect liquidity and net income separately from operations.</x:v>
      </x:c>
      <x:c r="M53" s="45" t="str">
        <x:v>NVIDIA.balance_sheet_date</x:v>
      </x:c>
    </x:row>
    <x:row r="54" ht="36" hidden="0" customHeight="1">
      <x:c r="A54" s="2"/>
      <x:c r="B54" s="2"/>
      <x:c r="C54" s="45" t="str">
        <x:v>NVIDIA</x:v>
      </x:c>
      <x:c r="D54" s="46" t="str">
        <x:v>NVDA</x:v>
      </x:c>
      <x:c r="E54" s="45" t="str">
        <x:v>USD</x:v>
      </x:c>
      <x:c r="F54" s="45" t="str">
        <x:v>FY2027 Q2, 3 months</x:v>
      </x:c>
      <x:c r="G54" s="45" t="str">
        <x:v>monetary_unit</x:v>
      </x:c>
      <x:c r="H54" s="45" t="str">
        <x:v>million</x:v>
      </x:c>
      <x:c r="I54" s="45" t="str">
        <x:v>원문 범위</x:v>
      </x:c>
      <x:c r="J54" s="49" t="n">
        <x:v>46282</x:v>
      </x:c>
      <x:c r="K54" s="45" t="str">
        <x:v>https://nvidianews.nvidia.com/news/nvidia-announces-financial-results-for-second-quarter-fiscal-2027
https://www.google.com/finance/quote/NVDA:NASDAQ</x:v>
      </x:c>
      <x:c r="L54" s="45" t="str">
        <x:v>Data Center or total AI revenue cannot be equated with humanoid revenue.
Q2 new debt proceeds and investment valuation gains affect liquidity and net income separately from operations.</x:v>
      </x:c>
      <x:c r="M54" s="45" t="str">
        <x:v>NVIDIA.monetary_unit</x:v>
      </x:c>
    </x:row>
    <x:row r="55" ht="36" hidden="0" customHeight="1">
      <x:c r="A55" s="2"/>
      <x:c r="B55" s="2"/>
      <x:c r="C55" s="45" t="str">
        <x:v>NVIDIA</x:v>
      </x:c>
      <x:c r="D55" s="46" t="str">
        <x:v>NVDA</x:v>
      </x:c>
      <x:c r="E55" s="45" t="str">
        <x:v>USD</x:v>
      </x:c>
      <x:c r="F55" s="45" t="str">
        <x:v>FY2027 Q2, 3 months</x:v>
      </x:c>
      <x:c r="G55" s="45" t="str">
        <x:v>영업이익률</x:v>
      </x:c>
      <x:c r="H55" s="51" t="n">
        <x:v>66.23710000935347</x:v>
      </x:c>
      <x:c r="I55" s="45" t="str">
        <x:v>%</x:v>
      </x:c>
      <x:c r="J55" s="49" t="n">
        <x:v>46282</x:v>
      </x:c>
      <x:c r="K55" s="45" t="str">
        <x:v>https://nvidianews.nvidia.com/news/nvidia-announces-financial-results-for-second-quarter-fiscal-2027
https://www.google.com/finance/quote/NVDA:NASDAQ</x:v>
      </x:c>
      <x:c r="L55" s="45" t="str">
        <x:v>Data Center or total AI revenue cannot be equated with humanoid revenue.
Q2 new debt proceeds and investment valuation gains affect liquidity and net income separately from operations.</x:v>
      </x:c>
      <x:c r="M55" s="45" t="str">
        <x:v>NVIDIA.operating_margin_percent</x:v>
      </x:c>
    </x:row>
    <x:row r="56" ht="36" hidden="0" customHeight="1">
      <x:c r="A56" s="2"/>
      <x:c r="B56" s="2"/>
      <x:c r="C56" s="45" t="str">
        <x:v>NVIDIA</x:v>
      </x:c>
      <x:c r="D56" s="46" t="str">
        <x:v>NVDA</x:v>
      </x:c>
      <x:c r="E56" s="45" t="str">
        <x:v>USD</x:v>
      </x:c>
      <x:c r="F56" s="45" t="str">
        <x:v>FY2027 Q2, 3 months</x:v>
      </x:c>
      <x:c r="G56" s="45" t="str">
        <x:v>휴머노이드 매출 공개 범위</x:v>
      </x:c>
      <x:c r="H56" s="45" t="str">
        <x:v>not_separately_disclosed</x:v>
      </x:c>
      <x:c r="I56" s="45" t="str">
        <x:v>원문 범위</x:v>
      </x:c>
      <x:c r="J56" s="49" t="n">
        <x:v>46282</x:v>
      </x:c>
      <x:c r="K56" s="45" t="str">
        <x:v>https://nvidianews.nvidia.com/news/nvidia-announces-financial-results-for-second-quarter-fiscal-2027
https://www.google.com/finance/quote/NVDA:NASDAQ</x:v>
      </x:c>
      <x:c r="L56" s="45" t="str">
        <x:v>Data Center or total AI revenue cannot be equated with humanoid revenue.
Q2 new debt proceeds and investment valuation gains affect liquidity and net income separately from operations.</x:v>
      </x:c>
      <x:c r="M56" s="45" t="str">
        <x:v>NVIDIA.humanoid_revenue_disclosed</x:v>
      </x:c>
    </x:row>
    <x:row r="57" ht="36" hidden="0" customHeight="1">
      <x:c r="A57" s="2"/>
      <x:c r="B57" s="2"/>
      <x:c r="C57" s="45" t="str">
        <x:v>NVIDIA</x:v>
      </x:c>
      <x:c r="D57" s="46" t="str">
        <x:v>NVDA</x:v>
      </x:c>
      <x:c r="E57" s="45" t="str">
        <x:v>USD</x:v>
      </x:c>
      <x:c r="F57" s="45" t="str">
        <x:v>FY2027 Q2, 3 months</x:v>
      </x:c>
      <x:c r="G57" s="45" t="str">
        <x:v>해석 조건·한계</x:v>
      </x:c>
      <x:c r="H57" s="45" t="str">
        <x:v>Data Center or total AI revenue cannot be equated with humanoid revenue.
Q2 new debt proceeds and investment valuation gains affect liquidity and net income separately from operations.</x:v>
      </x:c>
      <x:c r="I57" s="45" t="str">
        <x:v>원문 범위</x:v>
      </x:c>
      <x:c r="J57" s="49" t="n">
        <x:v>46282</x:v>
      </x:c>
      <x:c r="K57" s="45" t="str">
        <x:v>https://nvidianews.nvidia.com/news/nvidia-announces-financial-results-for-second-quarter-fiscal-2027
https://www.google.com/finance/quote/NVDA:NASDAQ</x:v>
      </x:c>
      <x:c r="L57" s="45" t="str">
        <x:v>Data Center or total AI revenue cannot be equated with humanoid revenue.
Q2 new debt proceeds and investment valuation gains affect liquidity and net income separately from operations.</x:v>
      </x:c>
      <x:c r="M57" s="45" t="str">
        <x:v>NVIDIA.notes</x:v>
      </x:c>
    </x:row>
    <x:row r="58" ht="36" hidden="0" customHeight="1">
      <x:c r="A58" s="2"/>
      <x:c r="B58" s="2"/>
      <x:c r="C58" s="45" t="str">
        <x:v>NVIDIA</x:v>
      </x:c>
      <x:c r="D58" s="46" t="str">
        <x:v>NVDA</x:v>
      </x:c>
      <x:c r="E58" s="45" t="str">
        <x:v>USD</x:v>
      </x:c>
      <x:c r="F58" s="45" t="str">
        <x:v>FY2027 Q2, 3 months</x:v>
      </x:c>
      <x:c r="G58" s="45" t="str">
        <x:v>현금 범위</x:v>
      </x:c>
      <x:c r="H58" s="45" t="str">
        <x:v>cash and cash equivalents; excludes marketable debt securities 34143</x:v>
      </x:c>
      <x:c r="I58" s="45" t="str">
        <x:v>원문 범위</x:v>
      </x:c>
      <x:c r="J58" s="49" t="n">
        <x:v>46282</x:v>
      </x:c>
      <x:c r="K58" s="45" t="str">
        <x:v>https://nvidianews.nvidia.com/news/nvidia-announces-financial-results-for-second-quarter-fiscal-2027
https://www.google.com/finance/quote/NVDA:NASDAQ</x:v>
      </x:c>
      <x:c r="L58" s="45" t="str">
        <x:v>Data Center or total AI revenue cannot be equated with humanoid revenue.
Q2 new debt proceeds and investment valuation gains affect liquidity and net income separately from operations.</x:v>
      </x:c>
      <x:c r="M58" s="45" t="str">
        <x:v>NVIDIA.cash_scope</x:v>
      </x:c>
    </x:row>
    <x:row r="59" ht="36" hidden="0" customHeight="1">
      <x:c r="A59" s="2"/>
      <x:c r="B59" s="2"/>
      <x:c r="C59" s="45" t="str">
        <x:v>NVIDIA</x:v>
      </x:c>
      <x:c r="D59" s="46" t="str">
        <x:v>NVDA</x:v>
      </x:c>
      <x:c r="E59" s="45" t="str">
        <x:v>USD</x:v>
      </x:c>
      <x:c r="F59" s="45" t="str">
        <x:v>FY2027 Q2, 3 months</x:v>
      </x:c>
      <x:c r="G59" s="45" t="str">
        <x:v>차입금 범위</x:v>
      </x:c>
      <x:c r="H59" s="45" t="str">
        <x:v>short-term debt 1000 plus long-term debt 32366; excludes operating leases</x:v>
      </x:c>
      <x:c r="I59" s="45" t="str">
        <x:v>원문 범위</x:v>
      </x:c>
      <x:c r="J59" s="49" t="n">
        <x:v>46282</x:v>
      </x:c>
      <x:c r="K59" s="45" t="str">
        <x:v>https://nvidianews.nvidia.com/news/nvidia-announces-financial-results-for-second-quarter-fiscal-2027
https://www.google.com/finance/quote/NVDA:NASDAQ</x:v>
      </x:c>
      <x:c r="L59" s="45" t="str">
        <x:v>Data Center or total AI revenue cannot be equated with humanoid revenue.
Q2 new debt proceeds and investment valuation gains affect liquidity and net income separately from operations.</x:v>
      </x:c>
      <x:c r="M59" s="45" t="str">
        <x:v>NVIDIA.debt_scope</x:v>
      </x:c>
    </x:row>
    <x:row r="60" ht="36" hidden="0" customHeight="1">
      <x:c r="A60" s="2"/>
      <x:c r="B60" s="2"/>
      <x:c r="C60" s="45" t="str">
        <x:v>NVIDIA</x:v>
      </x:c>
      <x:c r="D60" s="46" t="str">
        <x:v>NVDA</x:v>
      </x:c>
      <x:c r="E60" s="45" t="str">
        <x:v>USD</x:v>
      </x:c>
      <x:c r="F60" s="45" t="str">
        <x:v>2026-07-26</x:v>
      </x:c>
      <x:c r="G60" s="45" t="str">
        <x:v>시장성 투자자산</x:v>
      </x:c>
      <x:c r="H60" s="51" t="n">
        <x:v>34143</x:v>
      </x:c>
      <x:c r="I60" s="45" t="str">
        <x:v>백만</x:v>
      </x:c>
      <x:c r="J60" s="49" t="n">
        <x:v>46282</x:v>
      </x:c>
      <x:c r="K60" s="45" t="str">
        <x:v>https://nvidianews.nvidia.com/news/nvidia-announces-financial-results-for-second-quarter-fiscal-2027
https://www.google.com/finance/quote/NVDA:NASDAQ</x:v>
      </x:c>
      <x:c r="L60" s="45" t="str">
        <x:v>Data Center or total AI revenue cannot be equated with humanoid revenue.
Q2 new debt proceeds and investment valuation gains affect liquidity and net income separately from operations.</x:v>
      </x:c>
      <x:c r="M60" s="45" t="str">
        <x:v>NVIDIA.marketable_securities</x:v>
      </x:c>
    </x:row>
    <x:row r="61" ht="36" hidden="0" customHeight="1">
      <x:c r="A61" s="2"/>
      <x:c r="B61" s="2"/>
      <x:c r="C61" s="45" t="str">
        <x:v>NVIDIA</x:v>
      </x:c>
      <x:c r="D61" s="46" t="str">
        <x:v>NVDA</x:v>
      </x:c>
      <x:c r="E61" s="45" t="str">
        <x:v>USD</x:v>
      </x:c>
      <x:c r="F61" s="45" t="str">
        <x:v>FY2027 Q2, 3 months</x:v>
      </x:c>
      <x:c r="G61" s="45" t="str">
        <x:v>현금흐름 기간</x:v>
      </x:c>
      <x:c r="H61" s="45" t="str">
        <x:v>FY2027 Q2</x:v>
      </x:c>
      <x:c r="I61" s="45" t="str">
        <x:v>원문 범위</x:v>
      </x:c>
      <x:c r="J61" s="49" t="n">
        <x:v>46282</x:v>
      </x:c>
      <x:c r="K61" s="45" t="str">
        <x:v>https://nvidianews.nvidia.com/news/nvidia-announces-financial-results-for-second-quarter-fiscal-2027
https://www.google.com/finance/quote/NVDA:NASDAQ</x:v>
      </x:c>
      <x:c r="L61" s="45" t="str">
        <x:v>Data Center or total AI revenue cannot be equated with humanoid revenue.
Q2 new debt proceeds and investment valuation gains affect liquidity and net income separately from operations.</x:v>
      </x:c>
      <x:c r="M61" s="45" t="str">
        <x:v>NVIDIA.cash_flow_period</x:v>
      </x:c>
    </x:row>
    <x:row r="62" ht="36" hidden="0" customHeight="1">
      <x:c r="A62" s="2"/>
      <x:c r="B62" s="2"/>
      <x:c r="C62" s="45" t="str">
        <x:v>NVIDIA</x:v>
      </x:c>
      <x:c r="D62" s="46" t="str">
        <x:v>NVDA</x:v>
      </x:c>
      <x:c r="E62" s="45" t="str">
        <x:v>USD</x:v>
      </x:c>
      <x:c r="F62" s="45" t="str">
        <x:v>FY2027 Q2, 3 months</x:v>
      </x:c>
      <x:c r="G62" s="45" t="str">
        <x:v>finance_principal_payments</x:v>
      </x:c>
      <x:c r="H62" s="51" t="n">
        <x:v>59</x:v>
      </x:c>
      <x:c r="I62" s="45" t="str">
        <x:v>백만</x:v>
      </x:c>
      <x:c r="J62" s="49" t="n">
        <x:v>46282</x:v>
      </x:c>
      <x:c r="K62" s="45" t="str">
        <x:v>https://nvidianews.nvidia.com/news/nvidia-announces-financial-results-for-second-quarter-fiscal-2027
https://www.google.com/finance/quote/NVDA:NASDAQ</x:v>
      </x:c>
      <x:c r="L62" s="45" t="str">
        <x:v>Data Center or total AI revenue cannot be equated with humanoid revenue.
Q2 new debt proceeds and investment valuation gains affect liquidity and net income separately from operations.</x:v>
      </x:c>
      <x:c r="M62" s="45" t="str">
        <x:v>NVIDIA.finance_principal_payments</x:v>
      </x:c>
    </x:row>
    <x:row r="63" ht="36" hidden="0" customHeight="1">
      <x:c r="A63" s="2"/>
      <x:c r="B63" s="2"/>
      <x:c r="C63" s="45" t="str">
        <x:v>NVIDIA</x:v>
      </x:c>
      <x:c r="D63" s="46" t="str">
        <x:v>NVDA</x:v>
      </x:c>
      <x:c r="E63" s="45" t="str">
        <x:v>USD</x:v>
      </x:c>
      <x:c r="F63" s="45" t="str">
        <x:v>2026-09-16 US close</x:v>
      </x:c>
      <x:c r="G63" s="45" t="str">
        <x:v>시가총액 확인 범위</x:v>
      </x:c>
      <x:c r="H63" s="45" t="str">
        <x:v>Google Finance reported rounded market cap; not recomputed using EPS shares</x:v>
      </x:c>
      <x:c r="I63" s="45" t="str">
        <x:v>원문 범위</x:v>
      </x:c>
      <x:c r="J63" s="49" t="n">
        <x:v>46282</x:v>
      </x:c>
      <x:c r="K63" s="45" t="str">
        <x:v>https://nvidianews.nvidia.com/news/nvidia-announces-financial-results-for-second-quarter-fiscal-2027
https://www.google.com/finance/quote/NVDA:NASDAQ</x:v>
      </x:c>
      <x:c r="L63" s="45" t="str">
        <x:v>Data Center or total AI revenue cannot be equated with humanoid revenue.
Q2 new debt proceeds and investment valuation gains affect liquidity and net income separately from operations.</x:v>
      </x:c>
      <x:c r="M63" s="45" t="str">
        <x:v>NVIDIA.market_cap_status</x:v>
      </x:c>
    </x:row>
    <x:row r="64" ht="60" hidden="0" customHeight="1">
      <x:c r="A64" s="2"/>
      <x:c r="B64" s="2"/>
      <x:c r="C64" s="45" t="str">
        <x:v>UBTECH</x:v>
      </x:c>
      <x:c r="D64" s="46" t="str">
        <x:v>9880</x:v>
      </x:c>
      <x:c r="E64" s="45" t="str">
        <x:v>HKD</x:v>
      </x:c>
      <x:c r="F64" s="45" t="str">
        <x:v>2026-09-16 HK close</x:v>
      </x:c>
      <x:c r="G64" s="45" t="str">
        <x:v>주가</x:v>
      </x:c>
      <x:c r="H64" s="51" t="n">
        <x:v>77.4</x:v>
      </x:c>
      <x:c r="I64" s="45" t="str">
        <x:v>통화/주</x:v>
      </x:c>
      <x:c r="J64" s="49" t="n">
        <x:v>46282</x:v>
      </x:c>
      <x:c r="K64" s="45" t="str">
        <x:v>https://owebsite-cdn.ubtrobot.com/resources/file/2026/09/02/844614814105669.pdf
https://owebsite-cdn.ubtrobot.com/resources/file/2026/09/14/848879175876677.pdf
https://finance.yahoo.com/quote/9880.HK/</x:v>
      </x:c>
      <x:c r="L64"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64" s="45" t="str">
        <x:v>UBTECH.price</x:v>
      </x:c>
    </x:row>
    <x:row r="65" ht="60" hidden="0" customHeight="1">
      <x:c r="A65" s="2"/>
      <x:c r="B65" s="2"/>
      <x:c r="C65" s="45" t="str">
        <x:v>UBTECH</x:v>
      </x:c>
      <x:c r="D65" s="46" t="str">
        <x:v>9880</x:v>
      </x:c>
      <x:c r="E65" s="45" t="str">
        <x:v>HKD</x:v>
      </x:c>
      <x:c r="F65" s="45" t="str">
        <x:v>2026-09-16 HK close</x:v>
      </x:c>
      <x:c r="G65" s="45" t="str">
        <x:v>시가총액</x:v>
      </x:c>
      <x:c r="H65" s="45" t="str">
        <x:v>미확인</x:v>
      </x:c>
      <x:c r="I65" s="45" t="str">
        <x:v>원문 범위</x:v>
      </x:c>
      <x:c r="J65" s="49" t="n">
        <x:v>46282</x:v>
      </x:c>
      <x:c r="K65" s="45" t="str">
        <x:v>https://owebsite-cdn.ubtrobot.com/resources/file/2026/09/02/844614814105669.pdf
https://owebsite-cdn.ubtrobot.com/resources/file/2026/09/14/848879175876677.pdf
https://finance.yahoo.com/quote/9880.HK/</x:v>
      </x:c>
      <x:c r="L65"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65" s="45" t="str">
        <x:v>UBTECH.market_cap</x:v>
      </x:c>
    </x:row>
    <x:row r="66" ht="60" hidden="0" customHeight="1">
      <x:c r="A66" s="2"/>
      <x:c r="B66" s="2"/>
      <x:c r="C66" s="45" t="str">
        <x:v>UBTECH</x:v>
      </x:c>
      <x:c r="D66" s="46" t="str">
        <x:v>9880</x:v>
      </x:c>
      <x:c r="E66" s="45" t="str">
        <x:v>CNY</x:v>
      </x:c>
      <x:c r="F66" s="45" t="str">
        <x:v>2026 H1, 6 months</x:v>
      </x:c>
      <x:c r="G66" s="45" t="str">
        <x:v>매출</x:v>
      </x:c>
      <x:c r="H66" s="51" t="n">
        <x:v>1269.1</x:v>
      </x:c>
      <x:c r="I66" s="45" t="str">
        <x:v>백만</x:v>
      </x:c>
      <x:c r="J66" s="49" t="n">
        <x:v>46282</x:v>
      </x:c>
      <x:c r="K66" s="45" t="str">
        <x:v>https://owebsite-cdn.ubtrobot.com/resources/file/2026/09/02/844614814105669.pdf
https://owebsite-cdn.ubtrobot.com/resources/file/2026/09/14/848879175876677.pdf
https://finance.yahoo.com/quote/9880.HK/</x:v>
      </x:c>
      <x:c r="L66"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66" s="45" t="str">
        <x:v>UBTECH.revenue</x:v>
      </x:c>
    </x:row>
    <x:row r="67" ht="60" hidden="0" customHeight="1">
      <x:c r="A67" s="2"/>
      <x:c r="B67" s="2"/>
      <x:c r="C67" s="45" t="str">
        <x:v>UBTECH</x:v>
      </x:c>
      <x:c r="D67" s="46" t="str">
        <x:v>9880</x:v>
      </x:c>
      <x:c r="E67" s="45" t="str">
        <x:v>CNY</x:v>
      </x:c>
      <x:c r="F67" s="45" t="str">
        <x:v>2026 H1, 6 months</x:v>
      </x:c>
      <x:c r="G67" s="45" t="str">
        <x:v>영업이익</x:v>
      </x:c>
      <x:c r="H67" s="51" t="n">
        <x:v>-279.093</x:v>
      </x:c>
      <x:c r="I67" s="45" t="str">
        <x:v>백만</x:v>
      </x:c>
      <x:c r="J67" s="49" t="n">
        <x:v>46282</x:v>
      </x:c>
      <x:c r="K67" s="45" t="str">
        <x:v>https://owebsite-cdn.ubtrobot.com/resources/file/2026/09/02/844614814105669.pdf
https://owebsite-cdn.ubtrobot.com/resources/file/2026/09/14/848879175876677.pdf
https://finance.yahoo.com/quote/9880.HK/</x:v>
      </x:c>
      <x:c r="L67"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67" s="45" t="str">
        <x:v>UBTECH.operating_profit</x:v>
      </x:c>
    </x:row>
    <x:row r="68" ht="60" hidden="0" customHeight="1">
      <x:c r="A68" s="2"/>
      <x:c r="B68" s="2"/>
      <x:c r="C68" s="45" t="str">
        <x:v>UBTECH</x:v>
      </x:c>
      <x:c r="D68" s="46" t="str">
        <x:v>9880</x:v>
      </x:c>
      <x:c r="E68" s="45" t="str">
        <x:v>CNY</x:v>
      </x:c>
      <x:c r="F68" s="45" t="str">
        <x:v>2026-06-30</x:v>
      </x:c>
      <x:c r="G68" s="45" t="str">
        <x:v>현금</x:v>
      </x:c>
      <x:c r="H68" s="51" t="n">
        <x:v>2325.6</x:v>
      </x:c>
      <x:c r="I68" s="45" t="str">
        <x:v>백만</x:v>
      </x:c>
      <x:c r="J68" s="49" t="n">
        <x:v>46282</x:v>
      </x:c>
      <x:c r="K68" s="45" t="str">
        <x:v>https://owebsite-cdn.ubtrobot.com/resources/file/2026/09/02/844614814105669.pdf
https://owebsite-cdn.ubtrobot.com/resources/file/2026/09/14/848879175876677.pdf
https://finance.yahoo.com/quote/9880.HK/</x:v>
      </x:c>
      <x:c r="L68"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68" s="45" t="str">
        <x:v>UBTECH.cash</x:v>
      </x:c>
    </x:row>
    <x:row r="69" ht="60" hidden="0" customHeight="1">
      <x:c r="A69" s="2"/>
      <x:c r="B69" s="2"/>
      <x:c r="C69" s="45" t="str">
        <x:v>UBTECH</x:v>
      </x:c>
      <x:c r="D69" s="46" t="str">
        <x:v>9880</x:v>
      </x:c>
      <x:c r="E69" s="45" t="str">
        <x:v>CNY</x:v>
      </x:c>
      <x:c r="F69" s="45" t="str">
        <x:v>2026-06-30</x:v>
      </x:c>
      <x:c r="G69" s="45" t="str">
        <x:v>차입금</x:v>
      </x:c>
      <x:c r="H69" s="51" t="n">
        <x:v>997.3</x:v>
      </x:c>
      <x:c r="I69" s="45" t="str">
        <x:v>백만</x:v>
      </x:c>
      <x:c r="J69" s="49" t="n">
        <x:v>46282</x:v>
      </x:c>
      <x:c r="K69" s="45" t="str">
        <x:v>https://owebsite-cdn.ubtrobot.com/resources/file/2026/09/02/844614814105669.pdf
https://owebsite-cdn.ubtrobot.com/resources/file/2026/09/14/848879175876677.pdf
https://finance.yahoo.com/quote/9880.HK/</x:v>
      </x:c>
      <x:c r="L69"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69" s="45" t="str">
        <x:v>UBTECH.debt</x:v>
      </x:c>
    </x:row>
    <x:row r="70" ht="60" hidden="0" customHeight="1">
      <x:c r="A70" s="2"/>
      <x:c r="B70" s="2"/>
      <x:c r="C70" s="45" t="str">
        <x:v>UBTECH</x:v>
      </x:c>
      <x:c r="D70" s="46" t="str">
        <x:v>9880</x:v>
      </x:c>
      <x:c r="E70" s="45" t="str">
        <x:v>CNY</x:v>
      </x:c>
      <x:c r="F70" s="45" t="str">
        <x:v>2026 H1</x:v>
      </x:c>
      <x:c r="G70" s="45" t="str">
        <x:v>영업현금흐름</x:v>
      </x:c>
      <x:c r="H70" s="45" t="str">
        <x:v>미확인</x:v>
      </x:c>
      <x:c r="I70" s="45" t="str">
        <x:v>원문 범위</x:v>
      </x:c>
      <x:c r="J70" s="49" t="n">
        <x:v>46282</x:v>
      </x:c>
      <x:c r="K70" s="45" t="str">
        <x:v>https://owebsite-cdn.ubtrobot.com/resources/file/2026/09/02/844614814105669.pdf
https://owebsite-cdn.ubtrobot.com/resources/file/2026/09/14/848879175876677.pdf
https://finance.yahoo.com/quote/9880.HK/</x:v>
      </x:c>
      <x:c r="L70"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0" s="45" t="str">
        <x:v>UBTECH.operating_cash_flow</x:v>
      </x:c>
    </x:row>
    <x:row r="71" ht="60" hidden="0" customHeight="1">
      <x:c r="A71" s="2"/>
      <x:c r="B71" s="2"/>
      <x:c r="C71" s="45" t="str">
        <x:v>UBTECH</x:v>
      </x:c>
      <x:c r="D71" s="46" t="str">
        <x:v>9880</x:v>
      </x:c>
      <x:c r="E71" s="45" t="str">
        <x:v>CNY</x:v>
      </x:c>
      <x:c r="F71" s="45" t="str">
        <x:v>2026 H1</x:v>
      </x:c>
      <x:c r="G71" s="45" t="str">
        <x:v>설비·무형자산 투자</x:v>
      </x:c>
      <x:c r="H71" s="45" t="str">
        <x:v>미확인</x:v>
      </x:c>
      <x:c r="I71" s="45" t="str">
        <x:v>원문 범위</x:v>
      </x:c>
      <x:c r="J71" s="49" t="n">
        <x:v>46282</x:v>
      </x:c>
      <x:c r="K71" s="45" t="str">
        <x:v>https://owebsite-cdn.ubtrobot.com/resources/file/2026/09/02/844614814105669.pdf
https://owebsite-cdn.ubtrobot.com/resources/file/2026/09/14/848879175876677.pdf
https://finance.yahoo.com/quote/9880.HK/</x:v>
      </x:c>
      <x:c r="L71"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1" s="45" t="str">
        <x:v>UBTECH.capex</x:v>
      </x:c>
    </x:row>
    <x:row r="72" ht="60" hidden="0" customHeight="1">
      <x:c r="A72" s="2"/>
      <x:c r="B72" s="2"/>
      <x:c r="C72" s="45" t="str">
        <x:v>UBTECH</x:v>
      </x:c>
      <x:c r="D72" s="46" t="str">
        <x:v>9880</x:v>
      </x:c>
      <x:c r="E72" s="45" t="str">
        <x:v>CNY</x:v>
      </x:c>
      <x:c r="F72" s="45" t="str">
        <x:v>2026 H1</x:v>
      </x:c>
      <x:c r="G72" s="45" t="str">
        <x:v>잉여현금흐름</x:v>
      </x:c>
      <x:c r="H72" s="45" t="str">
        <x:v>미확인</x:v>
      </x:c>
      <x:c r="I72" s="45" t="str">
        <x:v>원문 범위</x:v>
      </x:c>
      <x:c r="J72" s="49" t="n">
        <x:v>46282</x:v>
      </x:c>
      <x:c r="K72" s="45" t="str">
        <x:v>https://owebsite-cdn.ubtrobot.com/resources/file/2026/09/02/844614814105669.pdf
https://owebsite-cdn.ubtrobot.com/resources/file/2026/09/14/848879175876677.pdf
https://finance.yahoo.com/quote/9880.HK/</x:v>
      </x:c>
      <x:c r="L72"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2" s="45" t="str">
        <x:v>UBTECH.free_cash_flow</x:v>
      </x:c>
    </x:row>
    <x:row r="73" ht="60" hidden="0" customHeight="1">
      <x:c r="A73" s="2"/>
      <x:c r="B73" s="2"/>
      <x:c r="C73" s="45" t="str">
        <x:v>UBTECH</x:v>
      </x:c>
      <x:c r="D73" s="46" t="str">
        <x:v>9880</x:v>
      </x:c>
      <x:c r="E73" s="45" t="str">
        <x:v>CNY</x:v>
      </x:c>
      <x:c r="F73" s="45" t="str">
        <x:v>2026 H1, 6 months</x:v>
      </x:c>
      <x:c r="G73" s="45" t="str">
        <x:v>관련 제품·서비스 범주 매출</x:v>
      </x:c>
      <x:c r="H73" s="51" t="n">
        <x:v>590.3</x:v>
      </x:c>
      <x:c r="I73" s="45" t="str">
        <x:v>백만</x:v>
      </x:c>
      <x:c r="J73" s="49" t="n">
        <x:v>46282</x:v>
      </x:c>
      <x:c r="K73" s="45" t="str">
        <x:v>https://owebsite-cdn.ubtrobot.com/resources/file/2026/09/02/844614814105669.pdf
https://owebsite-cdn.ubtrobot.com/resources/file/2026/09/14/848879175876677.pdf
https://finance.yahoo.com/quote/9880.HK/</x:v>
      </x:c>
      <x:c r="L73"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3" s="45" t="str">
        <x:v>UBTECH.humanoid_related_category_revenue</x:v>
      </x:c>
    </x:row>
    <x:row r="74" ht="60" hidden="0" customHeight="1">
      <x:c r="A74" s="2"/>
      <x:c r="B74" s="2"/>
      <x:c r="C74" s="45" t="str">
        <x:v>UBTECH</x:v>
      </x:c>
      <x:c r="D74" s="46" t="str">
        <x:v>9880</x:v>
      </x:c>
      <x:c r="E74" s="45" t="str">
        <x:v>CNY</x:v>
      </x:c>
      <x:c r="F74" s="45" t="str">
        <x:v>2026 H1, 6 months</x:v>
      </x:c>
      <x:c r="G74" s="45" t="str">
        <x:v>exchange</x:v>
      </x:c>
      <x:c r="H74" s="45" t="str">
        <x:v>HKEX Main Board</x:v>
      </x:c>
      <x:c r="I74" s="45" t="str">
        <x:v>원문 범위</x:v>
      </x:c>
      <x:c r="J74" s="49" t="n">
        <x:v>46282</x:v>
      </x:c>
      <x:c r="K74" s="45" t="str">
        <x:v>https://owebsite-cdn.ubtrobot.com/resources/file/2026/09/02/844614814105669.pdf
https://owebsite-cdn.ubtrobot.com/resources/file/2026/09/14/848879175876677.pdf
https://finance.yahoo.com/quote/9880.HK/</x:v>
      </x:c>
      <x:c r="L74"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4" s="45" t="str">
        <x:v>UBTECH.exchange</x:v>
      </x:c>
    </x:row>
    <x:row r="75" ht="60" hidden="0" customHeight="1">
      <x:c r="A75" s="2"/>
      <x:c r="B75" s="2"/>
      <x:c r="C75" s="45" t="str">
        <x:v>UBTECH</x:v>
      </x:c>
      <x:c r="D75" s="46" t="str">
        <x:v>9880</x:v>
      </x:c>
      <x:c r="E75" s="45" t="str">
        <x:v>CNY</x:v>
      </x:c>
      <x:c r="F75" s="45" t="str">
        <x:v>2026 H1, 6 months</x:v>
      </x:c>
      <x:c r="G75" s="45" t="str">
        <x:v>listed_status</x:v>
      </x:c>
      <x:c r="H75" s="45" t="str">
        <x:v>listed_verified</x:v>
      </x:c>
      <x:c r="I75" s="45" t="str">
        <x:v>원문 범위</x:v>
      </x:c>
      <x:c r="J75" s="49" t="n">
        <x:v>46282</x:v>
      </x:c>
      <x:c r="K75" s="45" t="str">
        <x:v>https://owebsite-cdn.ubtrobot.com/resources/file/2026/09/02/844614814105669.pdf
https://owebsite-cdn.ubtrobot.com/resources/file/2026/09/14/848879175876677.pdf
https://finance.yahoo.com/quote/9880.HK/</x:v>
      </x:c>
      <x:c r="L75"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5" s="45" t="str">
        <x:v>UBTECH.listed_status</x:v>
      </x:c>
    </x:row>
    <x:row r="76" ht="60" hidden="0" customHeight="1">
      <x:c r="A76" s="2"/>
      <x:c r="B76" s="2"/>
      <x:c r="C76" s="45" t="str">
        <x:v>UBTECH</x:v>
      </x:c>
      <x:c r="D76" s="46" t="str">
        <x:v>9880</x:v>
      </x:c>
      <x:c r="E76" s="45" t="str">
        <x:v>CNY</x:v>
      </x:c>
      <x:c r="F76" s="45" t="str">
        <x:v>2026 H1, 6 months</x:v>
      </x:c>
      <x:c r="G76" s="45" t="str">
        <x:v>as_of</x:v>
      </x:c>
      <x:c r="H76" s="45" t="str">
        <x:v>2026-09-17</x:v>
      </x:c>
      <x:c r="I76" s="45" t="str">
        <x:v>원문 범위</x:v>
      </x:c>
      <x:c r="J76" s="49" t="n">
        <x:v>46282</x:v>
      </x:c>
      <x:c r="K76" s="45" t="str">
        <x:v>https://owebsite-cdn.ubtrobot.com/resources/file/2026/09/02/844614814105669.pdf
https://owebsite-cdn.ubtrobot.com/resources/file/2026/09/14/848879175876677.pdf
https://finance.yahoo.com/quote/9880.HK/</x:v>
      </x:c>
      <x:c r="L76"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6" s="45" t="str">
        <x:v>UBTECH.as_of</x:v>
      </x:c>
    </x:row>
    <x:row r="77" ht="60" hidden="0" customHeight="1">
      <x:c r="A77" s="2"/>
      <x:c r="B77" s="2"/>
      <x:c r="C77" s="45" t="str">
        <x:v>UBTECH</x:v>
      </x:c>
      <x:c r="D77" s="46" t="str">
        <x:v>9880</x:v>
      </x:c>
      <x:c r="E77" s="45" t="str">
        <x:v>CNY</x:v>
      </x:c>
      <x:c r="F77" s="45" t="str">
        <x:v>2026 H1, 6 months</x:v>
      </x:c>
      <x:c r="G77" s="45" t="str">
        <x:v>주가 관측 시점</x:v>
      </x:c>
      <x:c r="H77" s="45" t="str">
        <x:v>2026-09-16 HK close</x:v>
      </x:c>
      <x:c r="I77" s="45" t="str">
        <x:v>원문 범위</x:v>
      </x:c>
      <x:c r="J77" s="49" t="n">
        <x:v>46282</x:v>
      </x:c>
      <x:c r="K77" s="45" t="str">
        <x:v>https://owebsite-cdn.ubtrobot.com/resources/file/2026/09/02/844614814105669.pdf
https://owebsite-cdn.ubtrobot.com/resources/file/2026/09/14/848879175876677.pdf
https://finance.yahoo.com/quote/9880.HK/</x:v>
      </x:c>
      <x:c r="L77"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7" s="45" t="str">
        <x:v>UBTECH.price_date</x:v>
      </x:c>
    </x:row>
    <x:row r="78" ht="60" hidden="0" customHeight="1">
      <x:c r="A78" s="2"/>
      <x:c r="B78" s="2"/>
      <x:c r="C78" s="45" t="str">
        <x:v>UBTECH</x:v>
      </x:c>
      <x:c r="D78" s="46" t="str">
        <x:v>9880</x:v>
      </x:c>
      <x:c r="E78" s="45" t="str">
        <x:v>CNY</x:v>
      </x:c>
      <x:c r="F78" s="45" t="str">
        <x:v>2026 H1, 6 months</x:v>
      </x:c>
      <x:c r="G78" s="45" t="str">
        <x:v>price_currency</x:v>
      </x:c>
      <x:c r="H78" s="45" t="str">
        <x:v>HKD</x:v>
      </x:c>
      <x:c r="I78" s="45" t="str">
        <x:v>원문 범위</x:v>
      </x:c>
      <x:c r="J78" s="49" t="n">
        <x:v>46282</x:v>
      </x:c>
      <x:c r="K78" s="45" t="str">
        <x:v>https://owebsite-cdn.ubtrobot.com/resources/file/2026/09/02/844614814105669.pdf
https://owebsite-cdn.ubtrobot.com/resources/file/2026/09/14/848879175876677.pdf
https://finance.yahoo.com/quote/9880.HK/</x:v>
      </x:c>
      <x:c r="L78"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8" s="45" t="str">
        <x:v>UBTECH.price_currency</x:v>
      </x:c>
    </x:row>
    <x:row r="79" ht="60" hidden="0" customHeight="1">
      <x:c r="A79" s="2"/>
      <x:c r="B79" s="2"/>
      <x:c r="C79" s="45" t="str">
        <x:v>UBTECH</x:v>
      </x:c>
      <x:c r="D79" s="46" t="str">
        <x:v>9880</x:v>
      </x:c>
      <x:c r="E79" s="45" t="str">
        <x:v>HKD</x:v>
      </x:c>
      <x:c r="F79" s="45" t="str">
        <x:v>2026-09-16 HK close</x:v>
      </x:c>
      <x:c r="G79" s="45" t="str">
        <x:v>market_cap_currency</x:v>
      </x:c>
      <x:c r="H79" s="45" t="str">
        <x:v>HKD</x:v>
      </x:c>
      <x:c r="I79" s="45" t="str">
        <x:v>원문 범위</x:v>
      </x:c>
      <x:c r="J79" s="49" t="n">
        <x:v>46282</x:v>
      </x:c>
      <x:c r="K79" s="45" t="str">
        <x:v>https://owebsite-cdn.ubtrobot.com/resources/file/2026/09/02/844614814105669.pdf
https://owebsite-cdn.ubtrobot.com/resources/file/2026/09/14/848879175876677.pdf
https://finance.yahoo.com/quote/9880.HK/</x:v>
      </x:c>
      <x:c r="L79"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79" s="45" t="str">
        <x:v>UBTECH.market_cap_currency</x:v>
      </x:c>
    </x:row>
    <x:row r="80" ht="60" hidden="0" customHeight="1">
      <x:c r="A80" s="2"/>
      <x:c r="B80" s="2"/>
      <x:c r="C80" s="45" t="str">
        <x:v>UBTECH</x:v>
      </x:c>
      <x:c r="D80" s="46" t="str">
        <x:v>9880</x:v>
      </x:c>
      <x:c r="E80" s="45" t="str">
        <x:v>HKD</x:v>
      </x:c>
      <x:c r="F80" s="45" t="str">
        <x:v>2026-09-16 HK close</x:v>
      </x:c>
      <x:c r="G80" s="45" t="str">
        <x:v>market_cap_unit</x:v>
      </x:c>
      <x:c r="H80" s="45" t="str">
        <x:v>million</x:v>
      </x:c>
      <x:c r="I80" s="45" t="str">
        <x:v>원문 범위</x:v>
      </x:c>
      <x:c r="J80" s="49" t="n">
        <x:v>46282</x:v>
      </x:c>
      <x:c r="K80" s="45" t="str">
        <x:v>https://owebsite-cdn.ubtrobot.com/resources/file/2026/09/02/844614814105669.pdf
https://owebsite-cdn.ubtrobot.com/resources/file/2026/09/14/848879175876677.pdf
https://finance.yahoo.com/quote/9880.HK/</x:v>
      </x:c>
      <x:c r="L80"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0" s="45" t="str">
        <x:v>UBTECH.market_cap_unit</x:v>
      </x:c>
    </x:row>
    <x:row r="81" ht="60" hidden="0" customHeight="1">
      <x:c r="A81" s="2"/>
      <x:c r="B81" s="2"/>
      <x:c r="C81" s="45" t="str">
        <x:v>UBTECH</x:v>
      </x:c>
      <x:c r="D81" s="46" t="str">
        <x:v>9880</x:v>
      </x:c>
      <x:c r="E81" s="45" t="str">
        <x:v>CNY</x:v>
      </x:c>
      <x:c r="F81" s="45" t="str">
        <x:v>2026 H1, 6 months</x:v>
      </x:c>
      <x:c r="G81" s="45" t="str">
        <x:v>실적 기간</x:v>
      </x:c>
      <x:c r="H81" s="45" t="str">
        <x:v>2026 H1, 6 months</x:v>
      </x:c>
      <x:c r="I81" s="45" t="str">
        <x:v>원문 범위</x:v>
      </x:c>
      <x:c r="J81" s="49" t="n">
        <x:v>46282</x:v>
      </x:c>
      <x:c r="K81" s="45" t="str">
        <x:v>https://owebsite-cdn.ubtrobot.com/resources/file/2026/09/02/844614814105669.pdf
https://owebsite-cdn.ubtrobot.com/resources/file/2026/09/14/848879175876677.pdf
https://finance.yahoo.com/quote/9880.HK/</x:v>
      </x:c>
      <x:c r="L81"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1" s="45" t="str">
        <x:v>UBTECH.financial_period</x:v>
      </x:c>
    </x:row>
    <x:row r="82" ht="60" hidden="0" customHeight="1">
      <x:c r="A82" s="2"/>
      <x:c r="B82" s="2"/>
      <x:c r="C82" s="45" t="str">
        <x:v>UBTECH</x:v>
      </x:c>
      <x:c r="D82" s="46" t="str">
        <x:v>9880</x:v>
      </x:c>
      <x:c r="E82" s="45" t="str">
        <x:v>CNY</x:v>
      </x:c>
      <x:c r="F82" s="45" t="str">
        <x:v>2026 H1, 6 months</x:v>
      </x:c>
      <x:c r="G82" s="45" t="str">
        <x:v>재무상태표 날짜</x:v>
      </x:c>
      <x:c r="H82" s="45" t="str">
        <x:v>2026-06-30</x:v>
      </x:c>
      <x:c r="I82" s="45" t="str">
        <x:v>원문 범위</x:v>
      </x:c>
      <x:c r="J82" s="49" t="n">
        <x:v>46282</x:v>
      </x:c>
      <x:c r="K82" s="45" t="str">
        <x:v>https://owebsite-cdn.ubtrobot.com/resources/file/2026/09/02/844614814105669.pdf
https://owebsite-cdn.ubtrobot.com/resources/file/2026/09/14/848879175876677.pdf
https://finance.yahoo.com/quote/9880.HK/</x:v>
      </x:c>
      <x:c r="L82"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2" s="45" t="str">
        <x:v>UBTECH.balance_sheet_date</x:v>
      </x:c>
    </x:row>
    <x:row r="83" ht="60" hidden="0" customHeight="1">
      <x:c r="A83" s="2"/>
      <x:c r="B83" s="2"/>
      <x:c r="C83" s="45" t="str">
        <x:v>UBTECH</x:v>
      </x:c>
      <x:c r="D83" s="46" t="str">
        <x:v>9880</x:v>
      </x:c>
      <x:c r="E83" s="45" t="str">
        <x:v>CNY</x:v>
      </x:c>
      <x:c r="F83" s="45" t="str">
        <x:v>2026 H1, 6 months</x:v>
      </x:c>
      <x:c r="G83" s="45" t="str">
        <x:v>monetary_unit</x:v>
      </x:c>
      <x:c r="H83" s="45" t="str">
        <x:v>million</x:v>
      </x:c>
      <x:c r="I83" s="45" t="str">
        <x:v>원문 범위</x:v>
      </x:c>
      <x:c r="J83" s="49" t="n">
        <x:v>46282</x:v>
      </x:c>
      <x:c r="K83" s="45" t="str">
        <x:v>https://owebsite-cdn.ubtrobot.com/resources/file/2026/09/02/844614814105669.pdf
https://owebsite-cdn.ubtrobot.com/resources/file/2026/09/14/848879175876677.pdf
https://finance.yahoo.com/quote/9880.HK/</x:v>
      </x:c>
      <x:c r="L83"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3" s="45" t="str">
        <x:v>UBTECH.monetary_unit</x:v>
      </x:c>
    </x:row>
    <x:row r="84" ht="60" hidden="0" customHeight="1">
      <x:c r="A84" s="2"/>
      <x:c r="B84" s="2"/>
      <x:c r="C84" s="45" t="str">
        <x:v>UBTECH</x:v>
      </x:c>
      <x:c r="D84" s="46" t="str">
        <x:v>9880</x:v>
      </x:c>
      <x:c r="E84" s="45" t="str">
        <x:v>CNY</x:v>
      </x:c>
      <x:c r="F84" s="45" t="str">
        <x:v>2026 H1, 6 months</x:v>
      </x:c>
      <x:c r="G84" s="45" t="str">
        <x:v>영업이익률</x:v>
      </x:c>
      <x:c r="H84" s="51" t="n">
        <x:v>-21.9914112363092</x:v>
      </x:c>
      <x:c r="I84" s="45" t="str">
        <x:v>%</x:v>
      </x:c>
      <x:c r="J84" s="49" t="n">
        <x:v>46282</x:v>
      </x:c>
      <x:c r="K84" s="45" t="str">
        <x:v>https://owebsite-cdn.ubtrobot.com/resources/file/2026/09/02/844614814105669.pdf
https://owebsite-cdn.ubtrobot.com/resources/file/2026/09/14/848879175876677.pdf
https://finance.yahoo.com/quote/9880.HK/</x:v>
      </x:c>
      <x:c r="L84"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4" s="45" t="str">
        <x:v>UBTECH.operating_margin_percent</x:v>
      </x:c>
    </x:row>
    <x:row r="85" ht="60" hidden="0" customHeight="1">
      <x:c r="A85" s="2"/>
      <x:c r="B85" s="2"/>
      <x:c r="C85" s="45" t="str">
        <x:v>UBTECH</x:v>
      </x:c>
      <x:c r="D85" s="46" t="str">
        <x:v>9880</x:v>
      </x:c>
      <x:c r="E85" s="45" t="str">
        <x:v>CNY</x:v>
      </x:c>
      <x:c r="F85" s="45" t="str">
        <x:v>2026 H1, 6 months</x:v>
      </x:c>
      <x:c r="G85" s="45" t="str">
        <x:v>휴머노이드 매출 공개 범위</x:v>
      </x:c>
      <x:c r="H85" s="45" t="str">
        <x:v>broader_product_and_service_category_disclosed</x:v>
      </x:c>
      <x:c r="I85" s="45" t="str">
        <x:v>원문 범위</x:v>
      </x:c>
      <x:c r="J85" s="49" t="n">
        <x:v>46282</x:v>
      </x:c>
      <x:c r="K85" s="45" t="str">
        <x:v>https://owebsite-cdn.ubtrobot.com/resources/file/2026/09/02/844614814105669.pdf
https://owebsite-cdn.ubtrobot.com/resources/file/2026/09/14/848879175876677.pdf
https://finance.yahoo.com/quote/9880.HK/</x:v>
      </x:c>
      <x:c r="L85"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5" s="45" t="str">
        <x:v>UBTECH.humanoid_revenue_disclosed</x:v>
      </x:c>
    </x:row>
    <x:row r="86" ht="60" hidden="0" customHeight="1">
      <x:c r="A86" s="2"/>
      <x:c r="B86" s="2"/>
      <x:c r="C86" s="45" t="str">
        <x:v>UBTECH</x:v>
      </x:c>
      <x:c r="D86" s="46" t="str">
        <x:v>9880</x:v>
      </x:c>
      <x:c r="E86" s="45" t="str">
        <x:v>CNY</x:v>
      </x:c>
      <x:c r="F86" s="45" t="str">
        <x:v>2026 H1, 6 months</x:v>
      </x:c>
      <x:c r="G86" s="45" t="str">
        <x:v>해석 조건·한계</x:v>
      </x:c>
      <x:c r="H86"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I86" s="45" t="str">
        <x:v>원문 범위</x:v>
      </x:c>
      <x:c r="J86" s="49" t="n">
        <x:v>46282</x:v>
      </x:c>
      <x:c r="K86" s="45" t="str">
        <x:v>https://owebsite-cdn.ubtrobot.com/resources/file/2026/09/02/844614814105669.pdf
https://owebsite-cdn.ubtrobot.com/resources/file/2026/09/14/848879175876677.pdf
https://finance.yahoo.com/quote/9880.HK/</x:v>
      </x:c>
      <x:c r="L86"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6" s="45" t="str">
        <x:v>UBTECH.notes</x:v>
      </x:c>
    </x:row>
    <x:row r="87" ht="60" hidden="0" customHeight="1">
      <x:c r="A87" s="2"/>
      <x:c r="B87" s="2"/>
      <x:c r="C87" s="45" t="str">
        <x:v>UBTECH</x:v>
      </x:c>
      <x:c r="D87" s="46" t="str">
        <x:v>9880</x:v>
      </x:c>
      <x:c r="E87" s="45" t="str">
        <x:v>CNY</x:v>
      </x:c>
      <x:c r="F87" s="45" t="str">
        <x:v>2026 H1, 6 months</x:v>
      </x:c>
      <x:c r="G87" s="45" t="str">
        <x:v>현금 범위</x:v>
      </x:c>
      <x:c r="H87" s="45" t="str">
        <x:v>cash and cash equivalents</x:v>
      </x:c>
      <x:c r="I87" s="45" t="str">
        <x:v>원문 범위</x:v>
      </x:c>
      <x:c r="J87" s="49" t="n">
        <x:v>46282</x:v>
      </x:c>
      <x:c r="K87" s="45" t="str">
        <x:v>https://owebsite-cdn.ubtrobot.com/resources/file/2026/09/02/844614814105669.pdf
https://owebsite-cdn.ubtrobot.com/resources/file/2026/09/14/848879175876677.pdf
https://finance.yahoo.com/quote/9880.HK/</x:v>
      </x:c>
      <x:c r="L87"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7" s="45" t="str">
        <x:v>UBTECH.cash_scope</x:v>
      </x:c>
    </x:row>
    <x:row r="88" ht="60" hidden="0" customHeight="1">
      <x:c r="A88" s="2"/>
      <x:c r="B88" s="2"/>
      <x:c r="C88" s="45" t="str">
        <x:v>UBTECH</x:v>
      </x:c>
      <x:c r="D88" s="46" t="str">
        <x:v>9880</x:v>
      </x:c>
      <x:c r="E88" s="45" t="str">
        <x:v>CNY</x:v>
      </x:c>
      <x:c r="F88" s="45" t="str">
        <x:v>2026 H1, 6 months</x:v>
      </x:c>
      <x:c r="G88" s="45" t="str">
        <x:v>차입금 범위</x:v>
      </x:c>
      <x:c r="H88" s="45" t="str">
        <x:v>total borrowings; rounded from interim financial review</x:v>
      </x:c>
      <x:c r="I88" s="45" t="str">
        <x:v>원문 범위</x:v>
      </x:c>
      <x:c r="J88" s="49" t="n">
        <x:v>46282</x:v>
      </x:c>
      <x:c r="K88" s="45" t="str">
        <x:v>https://owebsite-cdn.ubtrobot.com/resources/file/2026/09/02/844614814105669.pdf
https://owebsite-cdn.ubtrobot.com/resources/file/2026/09/14/848879175876677.pdf
https://finance.yahoo.com/quote/9880.HK/</x:v>
      </x:c>
      <x:c r="L88"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8" s="45" t="str">
        <x:v>UBTECH.debt_scope</x:v>
      </x:c>
    </x:row>
    <x:row r="89" ht="60" hidden="0" customHeight="1">
      <x:c r="A89" s="2"/>
      <x:c r="B89" s="2"/>
      <x:c r="C89" s="45" t="str">
        <x:v>UBTECH</x:v>
      </x:c>
      <x:c r="D89" s="46" t="str">
        <x:v>9880</x:v>
      </x:c>
      <x:c r="E89" s="45" t="str">
        <x:v>CNY</x:v>
      </x:c>
      <x:c r="F89" s="45" t="str">
        <x:v>2026 H1, 6 months</x:v>
      </x:c>
      <x:c r="G89" s="45" t="str">
        <x:v>순이익</x:v>
      </x:c>
      <x:c r="H89" s="51" t="n">
        <x:v>-338.827</x:v>
      </x:c>
      <x:c r="I89" s="45" t="str">
        <x:v>백만</x:v>
      </x:c>
      <x:c r="J89" s="49" t="n">
        <x:v>46282</x:v>
      </x:c>
      <x:c r="K89" s="45" t="str">
        <x:v>https://owebsite-cdn.ubtrobot.com/resources/file/2026/09/02/844614814105669.pdf
https://owebsite-cdn.ubtrobot.com/resources/file/2026/09/14/848879175876677.pdf
https://finance.yahoo.com/quote/9880.HK/</x:v>
      </x:c>
      <x:c r="L89"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89" s="45" t="str">
        <x:v>UBTECH.net_income</x:v>
      </x:c>
    </x:row>
    <x:row r="90" ht="60" hidden="0" customHeight="1">
      <x:c r="A90" s="2"/>
      <x:c r="B90" s="2"/>
      <x:c r="C90" s="45" t="str">
        <x:v>UBTECH</x:v>
      </x:c>
      <x:c r="D90" s="46" t="str">
        <x:v>9880</x:v>
      </x:c>
      <x:c r="E90" s="45" t="str">
        <x:v>CNY</x:v>
      </x:c>
      <x:c r="F90" s="45" t="str">
        <x:v>2026 H1, 6 months</x:v>
      </x:c>
      <x:c r="G90" s="45" t="str">
        <x:v>관련 매출 범주 비중</x:v>
      </x:c>
      <x:c r="H90" s="51" t="n">
        <x:v>46.5</x:v>
      </x:c>
      <x:c r="I90" s="45" t="str">
        <x:v>%</x:v>
      </x:c>
      <x:c r="J90" s="49" t="n">
        <x:v>46282</x:v>
      </x:c>
      <x:c r="K90" s="45" t="str">
        <x:v>https://owebsite-cdn.ubtrobot.com/resources/file/2026/09/02/844614814105669.pdf
https://owebsite-cdn.ubtrobot.com/resources/file/2026/09/14/848879175876677.pdf
https://finance.yahoo.com/quote/9880.HK/</x:v>
      </x:c>
      <x:c r="L90"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90" s="45" t="str">
        <x:v>UBTECH.humanoid_related_category_revenue_share_percent</x:v>
      </x:c>
    </x:row>
    <x:row r="91" ht="60" hidden="0" customHeight="1">
      <x:c r="A91" s="2"/>
      <x:c r="B91" s="2"/>
      <x:c r="C91" s="45" t="str">
        <x:v>UBTECH</x:v>
      </x:c>
      <x:c r="D91" s="46" t="str">
        <x:v>9880</x:v>
      </x:c>
      <x:c r="E91" s="45" t="str">
        <x:v>CNY</x:v>
      </x:c>
      <x:c r="F91" s="45" t="str">
        <x:v>2026 H1, 6 months</x:v>
      </x:c>
      <x:c r="G91" s="45" t="str">
        <x:v>관련 매출 범주 정의</x:v>
      </x:c>
      <x:c r="H91" s="45" t="str">
        <x:v>full-size embodied intelligent humanoid robot products and services; includes wheeled Cruzr Y1; not all bipedal Walker revenue</x:v>
      </x:c>
      <x:c r="I91" s="45" t="str">
        <x:v>원문 범위</x:v>
      </x:c>
      <x:c r="J91" s="49" t="n">
        <x:v>46282</x:v>
      </x:c>
      <x:c r="K91" s="45" t="str">
        <x:v>https://owebsite-cdn.ubtrobot.com/resources/file/2026/09/02/844614814105669.pdf
https://owebsite-cdn.ubtrobot.com/resources/file/2026/09/14/848879175876677.pdf
https://finance.yahoo.com/quote/9880.HK/</x:v>
      </x:c>
      <x:c r="L91"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91" s="45" t="str">
        <x:v>UBTECH.humanoid_related_category_definition</x:v>
      </x:c>
    </x:row>
    <x:row r="92" ht="60" hidden="0" customHeight="1">
      <x:c r="A92" s="2"/>
      <x:c r="B92" s="2"/>
      <x:c r="C92" s="45" t="str">
        <x:v>UBTECH</x:v>
      </x:c>
      <x:c r="D92" s="46" t="str">
        <x:v>9880</x:v>
      </x:c>
      <x:c r="E92" s="45" t="str">
        <x:v>CNY</x:v>
      </x:c>
      <x:c r="F92" s="45" t="str">
        <x:v>2026 H1, 6 months</x:v>
      </x:c>
      <x:c r="G92" s="45" t="str">
        <x:v>발행주식 수</x:v>
      </x:c>
      <x:c r="H92" s="53" t="n">
        <x:v>503401373</x:v>
      </x:c>
      <x:c r="I92" s="45" t="str">
        <x:v>주</x:v>
      </x:c>
      <x:c r="J92" s="49" t="n">
        <x:v>46282</x:v>
      </x:c>
      <x:c r="K92" s="45" t="str">
        <x:v>https://owebsite-cdn.ubtrobot.com/resources/file/2026/09/02/844614814105669.pdf
https://owebsite-cdn.ubtrobot.com/resources/file/2026/09/14/848879175876677.pdf
https://finance.yahoo.com/quote/9880.HK/</x:v>
      </x:c>
      <x:c r="L92"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92" s="45" t="str">
        <x:v>UBTECH.issued_shares</x:v>
      </x:c>
    </x:row>
    <x:row r="93" ht="60" hidden="0" customHeight="1">
      <x:c r="A93" s="2"/>
      <x:c r="B93" s="2"/>
      <x:c r="C93" s="45" t="str">
        <x:v>UBTECH</x:v>
      </x:c>
      <x:c r="D93" s="46" t="str">
        <x:v>9880</x:v>
      </x:c>
      <x:c r="E93" s="45" t="str">
        <x:v>CNY</x:v>
      </x:c>
      <x:c r="F93" s="45" t="str">
        <x:v>2026 H1, 6 months</x:v>
      </x:c>
      <x:c r="G93" s="45" t="str">
        <x:v>issued_shares_date</x:v>
      </x:c>
      <x:c r="H93" s="45" t="str">
        <x:v>2026-06-30</x:v>
      </x:c>
      <x:c r="I93" s="45" t="str">
        <x:v>주</x:v>
      </x:c>
      <x:c r="J93" s="49" t="n">
        <x:v>46282</x:v>
      </x:c>
      <x:c r="K93" s="45" t="str">
        <x:v>https://owebsite-cdn.ubtrobot.com/resources/file/2026/09/02/844614814105669.pdf
https://owebsite-cdn.ubtrobot.com/resources/file/2026/09/14/848879175876677.pdf
https://finance.yahoo.com/quote/9880.HK/</x:v>
      </x:c>
      <x:c r="L93"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93" s="45" t="str">
        <x:v>UBTECH.issued_shares_date</x:v>
      </x:c>
    </x:row>
    <x:row r="94" ht="60" hidden="0" customHeight="1">
      <x:c r="A94" s="2"/>
      <x:c r="B94" s="2"/>
      <x:c r="C94" s="45" t="str">
        <x:v>UBTECH</x:v>
      </x:c>
      <x:c r="D94" s="46" t="str">
        <x:v>9880</x:v>
      </x:c>
      <x:c r="E94" s="45" t="str">
        <x:v>HKD</x:v>
      </x:c>
      <x:c r="F94" s="45" t="str">
        <x:v>2026-09-16 HK close</x:v>
      </x:c>
      <x:c r="G94" s="45" t="str">
        <x:v>서로 다른 날짜를 적용한 참고 지분가치</x:v>
      </x:c>
      <x:c r="H94" s="51" t="n">
        <x:v>38963.2662702</x:v>
      </x:c>
      <x:c r="I94" s="45" t="str">
        <x:v>백만</x:v>
      </x:c>
      <x:c r="J94" s="49" t="n">
        <x:v>46282</x:v>
      </x:c>
      <x:c r="K94" s="45" t="str">
        <x:v>https://owebsite-cdn.ubtrobot.com/resources/file/2026/09/02/844614814105669.pdf
https://owebsite-cdn.ubtrobot.com/resources/file/2026/09/14/848879175876677.pdf
https://finance.yahoo.com/quote/9880.HK/</x:v>
      </x:c>
      <x:c r="L94"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94" s="45" t="str">
        <x:v>UBTECH.reference_equity_value_million</x:v>
      </x:c>
    </x:row>
    <x:row r="95" ht="60" hidden="0" customHeight="1">
      <x:c r="A95" s="2"/>
      <x:c r="B95" s="2"/>
      <x:c r="C95" s="45" t="str">
        <x:v>UBTECH</x:v>
      </x:c>
      <x:c r="D95" s="46" t="str">
        <x:v>9880</x:v>
      </x:c>
      <x:c r="E95" s="45" t="str">
        <x:v>HKD</x:v>
      </x:c>
      <x:c r="F95" s="45" t="str">
        <x:v>2026-09-16 HK close</x:v>
      </x:c>
      <x:c r="G95" s="45" t="str">
        <x:v>시가총액 확인 범위</x:v>
      </x:c>
      <x:c r="H95" s="45" t="str">
        <x:v>reference_equity_only; June total issued shares multiplied by September price; current treasury adjustments unresolved</x:v>
      </x:c>
      <x:c r="I95" s="45" t="str">
        <x:v>원문 범위</x:v>
      </x:c>
      <x:c r="J95" s="49" t="n">
        <x:v>46282</x:v>
      </x:c>
      <x:c r="K95" s="45" t="str">
        <x:v>https://owebsite-cdn.ubtrobot.com/resources/file/2026/09/02/844614814105669.pdf
https://owebsite-cdn.ubtrobot.com/resources/file/2026/09/14/848879175876677.pdf
https://finance.yahoo.com/quote/9880.HK/</x:v>
      </x:c>
      <x:c r="L95"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95" s="45" t="str">
        <x:v>UBTECH.market_cap_status</x:v>
      </x:c>
    </x:row>
    <x:row r="96" ht="60" hidden="0" customHeight="1">
      <x:c r="A96" s="2"/>
      <x:c r="B96" s="2"/>
      <x:c r="C96" s="45" t="str">
        <x:v>UBTECH</x:v>
      </x:c>
      <x:c r="D96" s="46" t="str">
        <x:v>9880</x:v>
      </x:c>
      <x:c r="E96" s="45" t="str">
        <x:v>CNY</x:v>
      </x:c>
      <x:c r="F96" s="45" t="str">
        <x:v>2026 H1, 6 months</x:v>
      </x:c>
      <x:c r="G96" s="45" t="str">
        <x:v>현금흐름 기간</x:v>
      </x:c>
      <x:c r="H96" s="45" t="str">
        <x:v>2026 H1</x:v>
      </x:c>
      <x:c r="I96" s="45" t="str">
        <x:v>원문 범위</x:v>
      </x:c>
      <x:c r="J96" s="49" t="n">
        <x:v>46282</x:v>
      </x:c>
      <x:c r="K96" s="45" t="str">
        <x:v>https://owebsite-cdn.ubtrobot.com/resources/file/2026/09/02/844614814105669.pdf
https://owebsite-cdn.ubtrobot.com/resources/file/2026/09/14/848879175876677.pdf
https://finance.yahoo.com/quote/9880.HK/</x:v>
      </x:c>
      <x:c r="L96"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96" s="45" t="str">
        <x:v>UBTECH.cash_flow_period</x:v>
      </x:c>
    </x:row>
    <x:row r="97" ht="60" hidden="0" customHeight="1">
      <x:c r="A97" s="2"/>
      <x:c r="B97" s="2"/>
      <x:c r="C97" s="45" t="str">
        <x:v>UBTECH</x:v>
      </x:c>
      <x:c r="D97" s="46" t="str">
        <x:v>9880</x:v>
      </x:c>
      <x:c r="E97" s="45" t="str">
        <x:v>CNY</x:v>
      </x:c>
      <x:c r="F97" s="45" t="str">
        <x:v>2026 H1, 6 months</x:v>
      </x:c>
      <x:c r="G97" s="45" t="str">
        <x:v>price_reverification_note</x:v>
      </x:c>
      <x:c r="H97" s="45" t="str">
        <x:v>Direct historical source could not be reopened for the September 16 close. Google Finance September 17 price 78.25 less displayed change 0.85 indirectly corroborates 77.40; not a direct historical-close revalidation.</x:v>
      </x:c>
      <x:c r="I97" s="45" t="str">
        <x:v>원문 범위</x:v>
      </x:c>
      <x:c r="J97" s="49" t="n">
        <x:v>46282</x:v>
      </x:c>
      <x:c r="K97" s="45" t="str">
        <x:v>https://owebsite-cdn.ubtrobot.com/resources/file/2026/09/02/844614814105669.pdf
https://owebsite-cdn.ubtrobot.com/resources/file/2026/09/14/848879175876677.pdf
https://finance.yahoo.com/quote/9880.HK/</x:v>
      </x:c>
      <x:c r="L97" s="45" t="str">
        <x:v>April Fenglong consolidation and CNY 1665.3m acquisition cash payment mean the entire cash decline is not operating cash burn.
921 category robots sold is not a clean denominator for a pure hardware ASP when the revenue category includes services.
Sep 14 awards: 3624470 conditional shares; award/vesting/new issuance/transfer are different events.</x:v>
      </x:c>
      <x:c r="M97" s="45" t="str">
        <x:v>UBTECH.price_reverification_note</x:v>
      </x:c>
    </x:row>
    <x:row r="98" ht="48" hidden="0" customHeight="1">
      <x:c r="A98" s="2"/>
      <x:c r="B98" s="2"/>
      <x:c r="C98" s="45" t="str">
        <x:v>Unitree</x:v>
      </x:c>
      <x:c r="D98" s="46" t="str">
        <x:v>688836</x:v>
      </x:c>
      <x:c r="E98" s="45" t="str">
        <x:v>CNY</x:v>
      </x:c>
      <x:c r="F98" s="45" t="str">
        <x:v>2026-09-16 Shanghai close</x:v>
      </x:c>
      <x:c r="G98" s="45" t="str">
        <x:v>주가</x:v>
      </x:c>
      <x:c r="H98" s="51" t="n">
        <x:v>474.28</x:v>
      </x:c>
      <x:c r="I98" s="45" t="str">
        <x:v>통화/주</x:v>
      </x:c>
      <x:c r="J98" s="49" t="n">
        <x:v>46282</x:v>
      </x:c>
      <x:c r="K98" s="45" t="str">
        <x:v>https://www.unitree.com/investor/
https://www.unitree.com/disclosure/listedinfo/announcement/宇树科技 关于变更注册资本、公司类型及修订《公司章程》并办理工商变更登记的公告.pdf
https://www.futunn.com/hk/stock/688836-SH</x:v>
      </x:c>
      <x:c r="L98" s="45" t="str">
        <x:v>Official Sep 3 notice confirms 40446434 IPO shares and 404464340 total issued shares.
Quadruped and humanoid economics must be separated; listing does not establish humanoid profitability.</x:v>
      </x:c>
      <x:c r="M98" s="45" t="str">
        <x:v>Unitree.price</x:v>
      </x:c>
    </x:row>
    <x:row r="99" ht="48" hidden="0" customHeight="1">
      <x:c r="A99" s="2"/>
      <x:c r="B99" s="2"/>
      <x:c r="C99" s="45" t="str">
        <x:v>Unitree</x:v>
      </x:c>
      <x:c r="D99" s="46" t="str">
        <x:v>688836</x:v>
      </x:c>
      <x:c r="E99" s="45" t="str">
        <x:v>CNY</x:v>
      </x:c>
      <x:c r="F99" s="45" t="str">
        <x:v>2026-09-16 Shanghai close</x:v>
      </x:c>
      <x:c r="G99" s="45" t="str">
        <x:v>시가총액</x:v>
      </x:c>
      <x:c r="H99" s="45" t="str">
        <x:v>미확인</x:v>
      </x:c>
      <x:c r="I99" s="45" t="str">
        <x:v>원문 범위</x:v>
      </x:c>
      <x:c r="J99" s="49" t="n">
        <x:v>46282</x:v>
      </x:c>
      <x:c r="K99" s="45" t="str">
        <x:v>https://www.unitree.com/investor/
https://www.unitree.com/disclosure/listedinfo/announcement/宇树科技 关于变更注册资本、公司类型及修订《公司章程》并办理工商变更登记的公告.pdf
https://www.futunn.com/hk/stock/688836-SH</x:v>
      </x:c>
      <x:c r="L99" s="45" t="str">
        <x:v>Official Sep 3 notice confirms 40446434 IPO shares and 404464340 total issued shares.
Quadruped and humanoid economics must be separated; listing does not establish humanoid profitability.</x:v>
      </x:c>
      <x:c r="M99" s="45" t="str">
        <x:v>Unitree.market_cap</x:v>
      </x:c>
    </x:row>
    <x:row r="100" ht="48" hidden="0" customHeight="1">
      <x:c r="A100" s="2"/>
      <x:c r="B100" s="2"/>
      <x:c r="C100" s="45" t="str">
        <x:v>Unitree</x:v>
      </x:c>
      <x:c r="D100" s="46" t="str">
        <x:v>688836</x:v>
      </x:c>
      <x:c r="E100" s="45" t="str">
        <x:v>CNY</x:v>
      </x:c>
      <x:c r="F100" s="45" t="str">
        <x:v>latest financial original not verified in this chapter</x:v>
      </x:c>
      <x:c r="G100" s="45" t="str">
        <x:v>매출</x:v>
      </x:c>
      <x:c r="H100" s="45" t="str">
        <x:v>미확인</x:v>
      </x:c>
      <x:c r="I100" s="45" t="str">
        <x:v>원문 범위</x:v>
      </x:c>
      <x:c r="J100" s="49" t="n">
        <x:v>46282</x:v>
      </x:c>
      <x:c r="K100" s="45" t="str">
        <x:v>https://www.unitree.com/investor/
https://www.unitree.com/disclosure/listedinfo/announcement/宇树科技 关于变更注册资本、公司类型及修订《公司章程》并办理工商变更登记的公告.pdf
https://www.futunn.com/hk/stock/688836-SH</x:v>
      </x:c>
      <x:c r="L100" s="45" t="str">
        <x:v>Official Sep 3 notice confirms 40446434 IPO shares and 404464340 total issued shares.
Quadruped and humanoid economics must be separated; listing does not establish humanoid profitability.</x:v>
      </x:c>
      <x:c r="M100" s="45" t="str">
        <x:v>Unitree.revenue</x:v>
      </x:c>
    </x:row>
    <x:row r="101" ht="48" hidden="0" customHeight="1">
      <x:c r="A101" s="2"/>
      <x:c r="B101" s="2"/>
      <x:c r="C101" s="45" t="str">
        <x:v>Unitree</x:v>
      </x:c>
      <x:c r="D101" s="46" t="str">
        <x:v>688836</x:v>
      </x:c>
      <x:c r="E101" s="45" t="str">
        <x:v>CNY</x:v>
      </x:c>
      <x:c r="F101" s="45" t="str">
        <x:v>latest financial original not verified in this chapter</x:v>
      </x:c>
      <x:c r="G101" s="45" t="str">
        <x:v>영업이익</x:v>
      </x:c>
      <x:c r="H101" s="45" t="str">
        <x:v>미확인</x:v>
      </x:c>
      <x:c r="I101" s="45" t="str">
        <x:v>원문 범위</x:v>
      </x:c>
      <x:c r="J101" s="49" t="n">
        <x:v>46282</x:v>
      </x:c>
      <x:c r="K101" s="45" t="str">
        <x:v>https://www.unitree.com/investor/
https://www.unitree.com/disclosure/listedinfo/announcement/宇树科技 关于变更注册资本、公司类型及修订《公司章程》并办理工商变更登记的公告.pdf
https://www.futunn.com/hk/stock/688836-SH</x:v>
      </x:c>
      <x:c r="L101" s="45" t="str">
        <x:v>Official Sep 3 notice confirms 40446434 IPO shares and 404464340 total issued shares.
Quadruped and humanoid economics must be separated; listing does not establish humanoid profitability.</x:v>
      </x:c>
      <x:c r="M101" s="45" t="str">
        <x:v>Unitree.operating_profit</x:v>
      </x:c>
    </x:row>
    <x:row r="102" ht="48" hidden="0" customHeight="1">
      <x:c r="A102" s="2"/>
      <x:c r="B102" s="2"/>
      <x:c r="C102" s="45" t="str">
        <x:v>Unitree</x:v>
      </x:c>
      <x:c r="D102" s="46" t="str">
        <x:v>688836</x:v>
      </x:c>
      <x:c r="E102" s="45" t="str">
        <x:v>CNY</x:v>
      </x:c>
      <x:c r="F102" s="45" t="str">
        <x:v>latest financial original not verified in this chapter</x:v>
      </x:c>
      <x:c r="G102" s="45" t="str">
        <x:v>현금</x:v>
      </x:c>
      <x:c r="H102" s="45" t="str">
        <x:v>미확인</x:v>
      </x:c>
      <x:c r="I102" s="45" t="str">
        <x:v>원문 범위</x:v>
      </x:c>
      <x:c r="J102" s="49" t="n">
        <x:v>46282</x:v>
      </x:c>
      <x:c r="K102" s="45" t="str">
        <x:v>https://www.unitree.com/investor/
https://www.unitree.com/disclosure/listedinfo/announcement/宇树科技 关于变更注册资本、公司类型及修订《公司章程》并办理工商变更登记的公告.pdf
https://www.futunn.com/hk/stock/688836-SH</x:v>
      </x:c>
      <x:c r="L102" s="45" t="str">
        <x:v>Official Sep 3 notice confirms 40446434 IPO shares and 404464340 total issued shares.
Quadruped and humanoid economics must be separated; listing does not establish humanoid profitability.</x:v>
      </x:c>
      <x:c r="M102" s="45" t="str">
        <x:v>Unitree.cash</x:v>
      </x:c>
    </x:row>
    <x:row r="103" ht="48" hidden="0" customHeight="1">
      <x:c r="A103" s="2"/>
      <x:c r="B103" s="2"/>
      <x:c r="C103" s="45" t="str">
        <x:v>Unitree</x:v>
      </x:c>
      <x:c r="D103" s="46" t="str">
        <x:v>688836</x:v>
      </x:c>
      <x:c r="E103" s="45" t="str">
        <x:v>CNY</x:v>
      </x:c>
      <x:c r="F103" s="45" t="str">
        <x:v>latest financial original not verified in this chapter</x:v>
      </x:c>
      <x:c r="G103" s="45" t="str">
        <x:v>차입금</x:v>
      </x:c>
      <x:c r="H103" s="45" t="str">
        <x:v>미확인</x:v>
      </x:c>
      <x:c r="I103" s="45" t="str">
        <x:v>원문 범위</x:v>
      </x:c>
      <x:c r="J103" s="49" t="n">
        <x:v>46282</x:v>
      </x:c>
      <x:c r="K103" s="45" t="str">
        <x:v>https://www.unitree.com/investor/
https://www.unitree.com/disclosure/listedinfo/announcement/宇树科技 关于变更注册资本、公司类型及修订《公司章程》并办理工商变更登记的公告.pdf
https://www.futunn.com/hk/stock/688836-SH</x:v>
      </x:c>
      <x:c r="L103" s="45" t="str">
        <x:v>Official Sep 3 notice confirms 40446434 IPO shares and 404464340 total issued shares.
Quadruped and humanoid economics must be separated; listing does not establish humanoid profitability.</x:v>
      </x:c>
      <x:c r="M103" s="45" t="str">
        <x:v>Unitree.debt</x:v>
      </x:c>
    </x:row>
    <x:row r="104" ht="48" hidden="0" customHeight="1">
      <x:c r="A104" s="2"/>
      <x:c r="B104" s="2"/>
      <x:c r="C104" s="45" t="str">
        <x:v>Unitree</x:v>
      </x:c>
      <x:c r="D104" s="46" t="str">
        <x:v>688836</x:v>
      </x:c>
      <x:c r="E104" s="45" t="str">
        <x:v>CNY</x:v>
      </x:c>
      <x:c r="F104" s="45" t="str">
        <x:v>latest financial original not verified in this chapter</x:v>
      </x:c>
      <x:c r="G104" s="45" t="str">
        <x:v>exchange</x:v>
      </x:c>
      <x:c r="H104" s="45" t="str">
        <x:v>Shanghai Stock Exchange STAR Market</x:v>
      </x:c>
      <x:c r="I104" s="45" t="str">
        <x:v>원문 범위</x:v>
      </x:c>
      <x:c r="J104" s="49" t="n">
        <x:v>46282</x:v>
      </x:c>
      <x:c r="K104" s="45" t="str">
        <x:v>https://www.unitree.com/investor/
https://www.unitree.com/disclosure/listedinfo/announcement/宇树科技 关于变更注册资本、公司类型及修订《公司章程》并办理工商变更登记的公告.pdf
https://www.futunn.com/hk/stock/688836-SH</x:v>
      </x:c>
      <x:c r="L104" s="45" t="str">
        <x:v>Official Sep 3 notice confirms 40446434 IPO shares and 404464340 total issued shares.
Quadruped and humanoid economics must be separated; listing does not establish humanoid profitability.</x:v>
      </x:c>
      <x:c r="M104" s="45" t="str">
        <x:v>Unitree.exchange</x:v>
      </x:c>
    </x:row>
    <x:row r="105" ht="48" hidden="0" customHeight="1">
      <x:c r="A105" s="2"/>
      <x:c r="B105" s="2"/>
      <x:c r="C105" s="45" t="str">
        <x:v>Unitree</x:v>
      </x:c>
      <x:c r="D105" s="46" t="str">
        <x:v>688836</x:v>
      </x:c>
      <x:c r="E105" s="45" t="str">
        <x:v>CNY</x:v>
      </x:c>
      <x:c r="F105" s="45" t="str">
        <x:v>latest financial original not verified in this chapter</x:v>
      </x:c>
      <x:c r="G105" s="45" t="str">
        <x:v>listed_status</x:v>
      </x:c>
      <x:c r="H105" s="45" t="str">
        <x:v>listed_verified</x:v>
      </x:c>
      <x:c r="I105" s="45" t="str">
        <x:v>원문 범위</x:v>
      </x:c>
      <x:c r="J105" s="49" t="n">
        <x:v>46282</x:v>
      </x:c>
      <x:c r="K105" s="45" t="str">
        <x:v>https://www.unitree.com/investor/
https://www.unitree.com/disclosure/listedinfo/announcement/宇树科技 关于变更注册资本、公司类型及修订《公司章程》并办理工商变更登记的公告.pdf
https://www.futunn.com/hk/stock/688836-SH</x:v>
      </x:c>
      <x:c r="L105" s="45" t="str">
        <x:v>Official Sep 3 notice confirms 40446434 IPO shares and 404464340 total issued shares.
Quadruped and humanoid economics must be separated; listing does not establish humanoid profitability.</x:v>
      </x:c>
      <x:c r="M105" s="45" t="str">
        <x:v>Unitree.listed_status</x:v>
      </x:c>
    </x:row>
    <x:row r="106" ht="48" hidden="0" customHeight="1">
      <x:c r="A106" s="2"/>
      <x:c r="B106" s="2"/>
      <x:c r="C106" s="45" t="str">
        <x:v>Unitree</x:v>
      </x:c>
      <x:c r="D106" s="46" t="str">
        <x:v>688836</x:v>
      </x:c>
      <x:c r="E106" s="45" t="str">
        <x:v>CNY</x:v>
      </x:c>
      <x:c r="F106" s="45" t="str">
        <x:v>latest financial original not verified in this chapter</x:v>
      </x:c>
      <x:c r="G106" s="45" t="str">
        <x:v>as_of</x:v>
      </x:c>
      <x:c r="H106" s="45" t="str">
        <x:v>2026-09-17</x:v>
      </x:c>
      <x:c r="I106" s="45" t="str">
        <x:v>원문 범위</x:v>
      </x:c>
      <x:c r="J106" s="49" t="n">
        <x:v>46282</x:v>
      </x:c>
      <x:c r="K106" s="45" t="str">
        <x:v>https://www.unitree.com/investor/
https://www.unitree.com/disclosure/listedinfo/announcement/宇树科技 关于变更注册资本、公司类型及修订《公司章程》并办理工商变更登记的公告.pdf
https://www.futunn.com/hk/stock/688836-SH</x:v>
      </x:c>
      <x:c r="L106" s="45" t="str">
        <x:v>Official Sep 3 notice confirms 40446434 IPO shares and 404464340 total issued shares.
Quadruped and humanoid economics must be separated; listing does not establish humanoid profitability.</x:v>
      </x:c>
      <x:c r="M106" s="45" t="str">
        <x:v>Unitree.as_of</x:v>
      </x:c>
    </x:row>
    <x:row r="107" ht="48" hidden="0" customHeight="1">
      <x:c r="A107" s="2"/>
      <x:c r="B107" s="2"/>
      <x:c r="C107" s="45" t="str">
        <x:v>Unitree</x:v>
      </x:c>
      <x:c r="D107" s="46" t="str">
        <x:v>688836</x:v>
      </x:c>
      <x:c r="E107" s="45" t="str">
        <x:v>CNY</x:v>
      </x:c>
      <x:c r="F107" s="45" t="str">
        <x:v>latest financial original not verified in this chapter</x:v>
      </x:c>
      <x:c r="G107" s="45" t="str">
        <x:v>주가 관측 시점</x:v>
      </x:c>
      <x:c r="H107" s="45" t="str">
        <x:v>2026-09-16 Shanghai close</x:v>
      </x:c>
      <x:c r="I107" s="45" t="str">
        <x:v>원문 범위</x:v>
      </x:c>
      <x:c r="J107" s="49" t="n">
        <x:v>46282</x:v>
      </x:c>
      <x:c r="K107" s="45" t="str">
        <x:v>https://www.unitree.com/investor/
https://www.unitree.com/disclosure/listedinfo/announcement/宇树科技 关于变更注册资本、公司类型及修订《公司章程》并办理工商变更登记的公告.pdf
https://www.futunn.com/hk/stock/688836-SH</x:v>
      </x:c>
      <x:c r="L107" s="45" t="str">
        <x:v>Official Sep 3 notice confirms 40446434 IPO shares and 404464340 total issued shares.
Quadruped and humanoid economics must be separated; listing does not establish humanoid profitability.</x:v>
      </x:c>
      <x:c r="M107" s="45" t="str">
        <x:v>Unitree.price_date</x:v>
      </x:c>
    </x:row>
    <x:row r="108" ht="48" hidden="0" customHeight="1">
      <x:c r="A108" s="2"/>
      <x:c r="B108" s="2"/>
      <x:c r="C108" s="45" t="str">
        <x:v>Unitree</x:v>
      </x:c>
      <x:c r="D108" s="46" t="str">
        <x:v>688836</x:v>
      </x:c>
      <x:c r="E108" s="45" t="str">
        <x:v>CNY</x:v>
      </x:c>
      <x:c r="F108" s="45" t="str">
        <x:v>latest financial original not verified in this chapter</x:v>
      </x:c>
      <x:c r="G108" s="45" t="str">
        <x:v>price_currency</x:v>
      </x:c>
      <x:c r="H108" s="45" t="str">
        <x:v>CNY</x:v>
      </x:c>
      <x:c r="I108" s="45" t="str">
        <x:v>원문 범위</x:v>
      </x:c>
      <x:c r="J108" s="49" t="n">
        <x:v>46282</x:v>
      </x:c>
      <x:c r="K108" s="45" t="str">
        <x:v>https://www.unitree.com/investor/
https://www.unitree.com/disclosure/listedinfo/announcement/宇树科技 关于变更注册资本、公司类型及修订《公司章程》并办理工商变更登记的公告.pdf
https://www.futunn.com/hk/stock/688836-SH</x:v>
      </x:c>
      <x:c r="L108" s="45" t="str">
        <x:v>Official Sep 3 notice confirms 40446434 IPO shares and 404464340 total issued shares.
Quadruped and humanoid economics must be separated; listing does not establish humanoid profitability.</x:v>
      </x:c>
      <x:c r="M108" s="45" t="str">
        <x:v>Unitree.price_currency</x:v>
      </x:c>
    </x:row>
    <x:row r="109" ht="48" hidden="0" customHeight="1">
      <x:c r="A109" s="2"/>
      <x:c r="B109" s="2"/>
      <x:c r="C109" s="45" t="str">
        <x:v>Unitree</x:v>
      </x:c>
      <x:c r="D109" s="46" t="str">
        <x:v>688836</x:v>
      </x:c>
      <x:c r="E109" s="45" t="str">
        <x:v>CNY</x:v>
      </x:c>
      <x:c r="F109" s="45" t="str">
        <x:v>2026-09-16 Shanghai close</x:v>
      </x:c>
      <x:c r="G109" s="45" t="str">
        <x:v>market_cap_currency</x:v>
      </x:c>
      <x:c r="H109" s="45" t="str">
        <x:v>CNY</x:v>
      </x:c>
      <x:c r="I109" s="45" t="str">
        <x:v>원문 범위</x:v>
      </x:c>
      <x:c r="J109" s="49" t="n">
        <x:v>46282</x:v>
      </x:c>
      <x:c r="K109" s="45" t="str">
        <x:v>https://www.unitree.com/investor/
https://www.unitree.com/disclosure/listedinfo/announcement/宇树科技 关于变更注册资本、公司类型及修订《公司章程》并办理工商变更登记的公告.pdf
https://www.futunn.com/hk/stock/688836-SH</x:v>
      </x:c>
      <x:c r="L109" s="45" t="str">
        <x:v>Official Sep 3 notice confirms 40446434 IPO shares and 404464340 total issued shares.
Quadruped and humanoid economics must be separated; listing does not establish humanoid profitability.</x:v>
      </x:c>
      <x:c r="M109" s="45" t="str">
        <x:v>Unitree.market_cap_currency</x:v>
      </x:c>
    </x:row>
    <x:row r="110" ht="48" hidden="0" customHeight="1">
      <x:c r="A110" s="2"/>
      <x:c r="B110" s="2"/>
      <x:c r="C110" s="45" t="str">
        <x:v>Unitree</x:v>
      </x:c>
      <x:c r="D110" s="46" t="str">
        <x:v>688836</x:v>
      </x:c>
      <x:c r="E110" s="45" t="str">
        <x:v>CNY</x:v>
      </x:c>
      <x:c r="F110" s="45" t="str">
        <x:v>2026-09-16 Shanghai close</x:v>
      </x:c>
      <x:c r="G110" s="45" t="str">
        <x:v>market_cap_unit</x:v>
      </x:c>
      <x:c r="H110" s="45" t="str">
        <x:v>million</x:v>
      </x:c>
      <x:c r="I110" s="45" t="str">
        <x:v>원문 범위</x:v>
      </x:c>
      <x:c r="J110" s="49" t="n">
        <x:v>46282</x:v>
      </x:c>
      <x:c r="K110" s="45" t="str">
        <x:v>https://www.unitree.com/investor/
https://www.unitree.com/disclosure/listedinfo/announcement/宇树科技 关于变更注册资本、公司类型及修订《公司章程》并办理工商变更登记的公告.pdf
https://www.futunn.com/hk/stock/688836-SH</x:v>
      </x:c>
      <x:c r="L110" s="45" t="str">
        <x:v>Official Sep 3 notice confirms 40446434 IPO shares and 404464340 total issued shares.
Quadruped and humanoid economics must be separated; listing does not establish humanoid profitability.</x:v>
      </x:c>
      <x:c r="M110" s="45" t="str">
        <x:v>Unitree.market_cap_unit</x:v>
      </x:c>
    </x:row>
    <x:row r="111" ht="48" hidden="0" customHeight="1">
      <x:c r="A111" s="2"/>
      <x:c r="B111" s="2"/>
      <x:c r="C111" s="45" t="str">
        <x:v>Unitree</x:v>
      </x:c>
      <x:c r="D111" s="46" t="str">
        <x:v>688836</x:v>
      </x:c>
      <x:c r="E111" s="45" t="str">
        <x:v>CNY</x:v>
      </x:c>
      <x:c r="F111" s="45" t="str">
        <x:v>latest financial original not verified in this chapter</x:v>
      </x:c>
      <x:c r="G111" s="45" t="str">
        <x:v>실적 기간</x:v>
      </x:c>
      <x:c r="H111" s="45" t="str">
        <x:v>latest financial original not verified in this chapter</x:v>
      </x:c>
      <x:c r="I111" s="45" t="str">
        <x:v>원문 범위</x:v>
      </x:c>
      <x:c r="J111" s="49" t="n">
        <x:v>46282</x:v>
      </x:c>
      <x:c r="K111" s="45" t="str">
        <x:v>https://www.unitree.com/investor/
https://www.unitree.com/disclosure/listedinfo/announcement/宇树科技 关于变更注册资本、公司类型及修订《公司章程》并办理工商变更登记的公告.pdf
https://www.futunn.com/hk/stock/688836-SH</x:v>
      </x:c>
      <x:c r="L111" s="45" t="str">
        <x:v>Official Sep 3 notice confirms 40446434 IPO shares and 404464340 total issued shares.
Quadruped and humanoid economics must be separated; listing does not establish humanoid profitability.</x:v>
      </x:c>
      <x:c r="M111" s="45" t="str">
        <x:v>Unitree.financial_period</x:v>
      </x:c>
    </x:row>
    <x:row r="112" ht="48" hidden="0" customHeight="1">
      <x:c r="A112" s="2"/>
      <x:c r="B112" s="2"/>
      <x:c r="C112" s="45" t="str">
        <x:v>Unitree</x:v>
      </x:c>
      <x:c r="D112" s="46" t="str">
        <x:v>688836</x:v>
      </x:c>
      <x:c r="E112" s="45" t="str">
        <x:v>CNY</x:v>
      </x:c>
      <x:c r="F112" s="45" t="str">
        <x:v>latest financial original not verified in this chapter</x:v>
      </x:c>
      <x:c r="G112" s="45" t="str">
        <x:v>재무상태표 날짜</x:v>
      </x:c>
      <x:c r="H112" s="45" t="str">
        <x:v>미확인</x:v>
      </x:c>
      <x:c r="I112" s="45" t="str">
        <x:v>원문 범위</x:v>
      </x:c>
      <x:c r="J112" s="49" t="n">
        <x:v>46282</x:v>
      </x:c>
      <x:c r="K112" s="45" t="str">
        <x:v>https://www.unitree.com/investor/
https://www.unitree.com/disclosure/listedinfo/announcement/宇树科技 关于变更注册资本、公司类型及修订《公司章程》并办理工商变更登记的公告.pdf
https://www.futunn.com/hk/stock/688836-SH</x:v>
      </x:c>
      <x:c r="L112" s="45" t="str">
        <x:v>Official Sep 3 notice confirms 40446434 IPO shares and 404464340 total issued shares.
Quadruped and humanoid economics must be separated; listing does not establish humanoid profitability.</x:v>
      </x:c>
      <x:c r="M112" s="45" t="str">
        <x:v>Unitree.balance_sheet_date</x:v>
      </x:c>
    </x:row>
    <x:row r="113" ht="48" hidden="0" customHeight="1">
      <x:c r="A113" s="2"/>
      <x:c r="B113" s="2"/>
      <x:c r="C113" s="45" t="str">
        <x:v>Unitree</x:v>
      </x:c>
      <x:c r="D113" s="46" t="str">
        <x:v>688836</x:v>
      </x:c>
      <x:c r="E113" s="45" t="str">
        <x:v>CNY</x:v>
      </x:c>
      <x:c r="F113" s="45" t="str">
        <x:v>latest financial original not verified in this chapter</x:v>
      </x:c>
      <x:c r="G113" s="45" t="str">
        <x:v>monetary_unit</x:v>
      </x:c>
      <x:c r="H113" s="45" t="str">
        <x:v>million</x:v>
      </x:c>
      <x:c r="I113" s="45" t="str">
        <x:v>원문 범위</x:v>
      </x:c>
      <x:c r="J113" s="49" t="n">
        <x:v>46282</x:v>
      </x:c>
      <x:c r="K113" s="45" t="str">
        <x:v>https://www.unitree.com/investor/
https://www.unitree.com/disclosure/listedinfo/announcement/宇树科技 关于变更注册资本、公司类型及修订《公司章程》并办理工商变更登记的公告.pdf
https://www.futunn.com/hk/stock/688836-SH</x:v>
      </x:c>
      <x:c r="L113" s="45" t="str">
        <x:v>Official Sep 3 notice confirms 40446434 IPO shares and 404464340 total issued shares.
Quadruped and humanoid economics must be separated; listing does not establish humanoid profitability.</x:v>
      </x:c>
      <x:c r="M113" s="45" t="str">
        <x:v>Unitree.monetary_unit</x:v>
      </x:c>
    </x:row>
    <x:row r="114" ht="48" hidden="0" customHeight="1">
      <x:c r="A114" s="2"/>
      <x:c r="B114" s="2"/>
      <x:c r="C114" s="45" t="str">
        <x:v>Unitree</x:v>
      </x:c>
      <x:c r="D114" s="46" t="str">
        <x:v>688836</x:v>
      </x:c>
      <x:c r="E114" s="45" t="str">
        <x:v>CNY</x:v>
      </x:c>
      <x:c r="F114" s="45" t="str">
        <x:v>latest financial original not verified in this chapter</x:v>
      </x:c>
      <x:c r="G114" s="45" t="str">
        <x:v>영업이익률</x:v>
      </x:c>
      <x:c r="H114" s="45" t="str">
        <x:v>미확인</x:v>
      </x:c>
      <x:c r="I114" s="45" t="str">
        <x:v>%</x:v>
      </x:c>
      <x:c r="J114" s="49" t="n">
        <x:v>46282</x:v>
      </x:c>
      <x:c r="K114" s="45" t="str">
        <x:v>https://www.unitree.com/investor/
https://www.unitree.com/disclosure/listedinfo/announcement/宇树科技 关于变更注册资本、公司类型及修订《公司章程》并办理工商变更登记的公告.pdf
https://www.futunn.com/hk/stock/688836-SH</x:v>
      </x:c>
      <x:c r="L114" s="45" t="str">
        <x:v>Official Sep 3 notice confirms 40446434 IPO shares and 404464340 total issued shares.
Quadruped and humanoid economics must be separated; listing does not establish humanoid profitability.</x:v>
      </x:c>
      <x:c r="M114" s="45" t="str">
        <x:v>Unitree.operating_margin_percent</x:v>
      </x:c>
    </x:row>
    <x:row r="115" ht="48" hidden="0" customHeight="1">
      <x:c r="A115" s="2"/>
      <x:c r="B115" s="2"/>
      <x:c r="C115" s="45" t="str">
        <x:v>Unitree</x:v>
      </x:c>
      <x:c r="D115" s="46" t="str">
        <x:v>688836</x:v>
      </x:c>
      <x:c r="E115" s="45" t="str">
        <x:v>CNY</x:v>
      </x:c>
      <x:c r="F115" s="45" t="str">
        <x:v>latest financial original not verified in this chapter</x:v>
      </x:c>
      <x:c r="G115" s="45" t="str">
        <x:v>휴머노이드 매출 공개 범위</x:v>
      </x:c>
      <x:c r="H115" s="45" t="str">
        <x:v>financial_original_verification_incomplete</x:v>
      </x:c>
      <x:c r="I115" s="45" t="str">
        <x:v>원문 범위</x:v>
      </x:c>
      <x:c r="J115" s="49" t="n">
        <x:v>46282</x:v>
      </x:c>
      <x:c r="K115" s="45" t="str">
        <x:v>https://www.unitree.com/investor/
https://www.unitree.com/disclosure/listedinfo/announcement/宇树科技 关于变更注册资本、公司类型及修订《公司章程》并办理工商变更登记的公告.pdf
https://www.futunn.com/hk/stock/688836-SH</x:v>
      </x:c>
      <x:c r="L115" s="45" t="str">
        <x:v>Official Sep 3 notice confirms 40446434 IPO shares and 404464340 total issued shares.
Quadruped and humanoid economics must be separated; listing does not establish humanoid profitability.</x:v>
      </x:c>
      <x:c r="M115" s="45" t="str">
        <x:v>Unitree.humanoid_revenue_disclosed</x:v>
      </x:c>
    </x:row>
    <x:row r="116" ht="48" hidden="0" customHeight="1">
      <x:c r="A116" s="2"/>
      <x:c r="B116" s="2"/>
      <x:c r="C116" s="45" t="str">
        <x:v>Unitree</x:v>
      </x:c>
      <x:c r="D116" s="46" t="str">
        <x:v>688836</x:v>
      </x:c>
      <x:c r="E116" s="45" t="str">
        <x:v>CNY</x:v>
      </x:c>
      <x:c r="F116" s="45" t="str">
        <x:v>latest financial original not verified in this chapter</x:v>
      </x:c>
      <x:c r="G116" s="45" t="str">
        <x:v>해석 조건·한계</x:v>
      </x:c>
      <x:c r="H116" s="45" t="str">
        <x:v>Official Sep 3 notice confirms 40446434 IPO shares and 404464340 total issued shares.
Quadruped and humanoid economics must be separated; listing does not establish humanoid profitability.</x:v>
      </x:c>
      <x:c r="I116" s="45" t="str">
        <x:v>원문 범위</x:v>
      </x:c>
      <x:c r="J116" s="49" t="n">
        <x:v>46282</x:v>
      </x:c>
      <x:c r="K116" s="45" t="str">
        <x:v>https://www.unitree.com/investor/
https://www.unitree.com/disclosure/listedinfo/announcement/宇树科技 关于变更注册资本、公司类型及修订《公司章程》并办理工商变更登记的公告.pdf
https://www.futunn.com/hk/stock/688836-SH</x:v>
      </x:c>
      <x:c r="L116" s="45" t="str">
        <x:v>Official Sep 3 notice confirms 40446434 IPO shares and 404464340 total issued shares.
Quadruped and humanoid economics must be separated; listing does not establish humanoid profitability.</x:v>
      </x:c>
      <x:c r="M116" s="45" t="str">
        <x:v>Unitree.notes</x:v>
      </x:c>
    </x:row>
    <x:row r="117" ht="48" hidden="0" customHeight="1">
      <x:c r="A117" s="2"/>
      <x:c r="B117" s="2"/>
      <x:c r="C117" s="45" t="str">
        <x:v>Unitree</x:v>
      </x:c>
      <x:c r="D117" s="46" t="str">
        <x:v>688836</x:v>
      </x:c>
      <x:c r="E117" s="45" t="str">
        <x:v>CNY</x:v>
      </x:c>
      <x:c r="F117" s="45" t="str">
        <x:v>latest financial original not verified in this chapter</x:v>
      </x:c>
      <x:c r="G117" s="45" t="str">
        <x:v>listing_date</x:v>
      </x:c>
      <x:c r="H117" s="45" t="str">
        <x:v>2026-08-19</x:v>
      </x:c>
      <x:c r="I117" s="45" t="str">
        <x:v>원문 범위</x:v>
      </x:c>
      <x:c r="J117" s="49" t="n">
        <x:v>46282</x:v>
      </x:c>
      <x:c r="K117" s="45" t="str">
        <x:v>https://www.unitree.com/investor/
https://www.unitree.com/disclosure/listedinfo/announcement/宇树科技 关于变更注册资本、公司类型及修订《公司章程》并办理工商变更登记的公告.pdf
https://www.futunn.com/hk/stock/688836-SH</x:v>
      </x:c>
      <x:c r="L117" s="45" t="str">
        <x:v>Official Sep 3 notice confirms 40446434 IPO shares and 404464340 total issued shares.
Quadruped and humanoid economics must be separated; listing does not establish humanoid profitability.</x:v>
      </x:c>
      <x:c r="M117" s="45" t="str">
        <x:v>Unitree.listing_date</x:v>
      </x:c>
    </x:row>
    <x:row r="118" ht="48" hidden="0" customHeight="1">
      <x:c r="A118" s="2"/>
      <x:c r="B118" s="2"/>
      <x:c r="C118" s="45" t="str">
        <x:v>Unitree</x:v>
      </x:c>
      <x:c r="D118" s="46" t="str">
        <x:v>688836</x:v>
      </x:c>
      <x:c r="E118" s="45" t="str">
        <x:v>CNY</x:v>
      </x:c>
      <x:c r="F118" s="45" t="str">
        <x:v>latest financial original not verified in this chapter</x:v>
      </x:c>
      <x:c r="G118" s="45" t="str">
        <x:v>발행주식 수</x:v>
      </x:c>
      <x:c r="H118" s="53" t="n">
        <x:v>404464340</x:v>
      </x:c>
      <x:c r="I118" s="45" t="str">
        <x:v>주</x:v>
      </x:c>
      <x:c r="J118" s="49" t="n">
        <x:v>46282</x:v>
      </x:c>
      <x:c r="K118" s="45" t="str">
        <x:v>https://www.unitree.com/investor/
https://www.unitree.com/disclosure/listedinfo/announcement/宇树科技 关于变更注册资本、公司类型及修订《公司章程》并办理工商变更登记的公告.pdf
https://www.futunn.com/hk/stock/688836-SH</x:v>
      </x:c>
      <x:c r="L118" s="45" t="str">
        <x:v>Official Sep 3 notice confirms 40446434 IPO shares and 404464340 total issued shares.
Quadruped and humanoid economics must be separated; listing does not establish humanoid profitability.</x:v>
      </x:c>
      <x:c r="M118" s="45" t="str">
        <x:v>Unitree.issued_shares</x:v>
      </x:c>
    </x:row>
    <x:row r="119" ht="48" hidden="0" customHeight="1">
      <x:c r="A119" s="2"/>
      <x:c r="B119" s="2"/>
      <x:c r="C119" s="45" t="str">
        <x:v>Unitree</x:v>
      </x:c>
      <x:c r="D119" s="46" t="str">
        <x:v>688836</x:v>
      </x:c>
      <x:c r="E119" s="45" t="str">
        <x:v>CNY</x:v>
      </x:c>
      <x:c r="F119" s="45" t="str">
        <x:v>latest financial original not verified in this chapter</x:v>
      </x:c>
      <x:c r="G119" s="45" t="str">
        <x:v>issued_shares_date</x:v>
      </x:c>
      <x:c r="H119" s="45" t="str">
        <x:v>2026-09-03 capital change announcement</x:v>
      </x:c>
      <x:c r="I119" s="45" t="str">
        <x:v>주</x:v>
      </x:c>
      <x:c r="J119" s="49" t="n">
        <x:v>46282</x:v>
      </x:c>
      <x:c r="K119" s="45" t="str">
        <x:v>https://www.unitree.com/investor/
https://www.unitree.com/disclosure/listedinfo/announcement/宇树科技 关于变更注册资本、公司类型及修订《公司章程》并办理工商变更登记的公告.pdf
https://www.futunn.com/hk/stock/688836-SH</x:v>
      </x:c>
      <x:c r="L119" s="45" t="str">
        <x:v>Official Sep 3 notice confirms 40446434 IPO shares and 404464340 total issued shares.
Quadruped and humanoid economics must be separated; listing does not establish humanoid profitability.</x:v>
      </x:c>
      <x:c r="M119" s="45" t="str">
        <x:v>Unitree.issued_shares_date</x:v>
      </x:c>
    </x:row>
    <x:row r="120" ht="48" hidden="0" customHeight="1">
      <x:c r="A120" s="2"/>
      <x:c r="B120" s="2"/>
      <x:c r="C120" s="45" t="str">
        <x:v>Unitree</x:v>
      </x:c>
      <x:c r="D120" s="46" t="str">
        <x:v>688836</x:v>
      </x:c>
      <x:c r="E120" s="45" t="str">
        <x:v>CNY</x:v>
      </x:c>
      <x:c r="F120" s="45" t="str">
        <x:v>2026-09-16 Shanghai close</x:v>
      </x:c>
      <x:c r="G120" s="45" t="str">
        <x:v>서로 다른 날짜를 적용한 참고 지분가치</x:v>
      </x:c>
      <x:c r="H120" s="51" t="n">
        <x:v>191829.34717519998</x:v>
      </x:c>
      <x:c r="I120" s="45" t="str">
        <x:v>백만</x:v>
      </x:c>
      <x:c r="J120" s="49" t="n">
        <x:v>46282</x:v>
      </x:c>
      <x:c r="K120" s="45" t="str">
        <x:v>https://www.unitree.com/investor/
https://www.unitree.com/disclosure/listedinfo/announcement/宇树科技 关于变更注册资本、公司类型及修订《公司章程》并办理工商变更登记的公告.pdf
https://www.futunn.com/hk/stock/688836-SH</x:v>
      </x:c>
      <x:c r="L120" s="45" t="str">
        <x:v>Official Sep 3 notice confirms 40446434 IPO shares and 404464340 total issued shares.
Quadruped and humanoid economics must be separated; listing does not establish humanoid profitability.</x:v>
      </x:c>
      <x:c r="M120" s="45" t="str">
        <x:v>Unitree.reference_equity_value_million</x:v>
      </x:c>
    </x:row>
    <x:row r="121" ht="48" hidden="0" customHeight="1">
      <x:c r="A121" s="2"/>
      <x:c r="B121" s="2"/>
      <x:c r="C121" s="45" t="str">
        <x:v>Unitree</x:v>
      </x:c>
      <x:c r="D121" s="46" t="str">
        <x:v>688836</x:v>
      </x:c>
      <x:c r="E121" s="45" t="str">
        <x:v>CNY</x:v>
      </x:c>
      <x:c r="F121" s="45" t="str">
        <x:v>2026-09-16 Shanghai close</x:v>
      </x:c>
      <x:c r="G121" s="45" t="str">
        <x:v>시가총액 확인 범위</x:v>
      </x:c>
      <x:c r="H121" s="45" t="str">
        <x:v>reference_equity; official September issued shares times September 16 price</x:v>
      </x:c>
      <x:c r="I121" s="45" t="str">
        <x:v>원문 범위</x:v>
      </x:c>
      <x:c r="J121" s="49" t="n">
        <x:v>46282</x:v>
      </x:c>
      <x:c r="K121" s="45" t="str">
        <x:v>https://www.unitree.com/investor/
https://www.unitree.com/disclosure/listedinfo/announcement/宇树科技 关于变更注册资本、公司类型及修订《公司章程》并办理工商变更登记的公告.pdf
https://www.futunn.com/hk/stock/688836-SH</x:v>
      </x:c>
      <x:c r="L121" s="45" t="str">
        <x:v>Official Sep 3 notice confirms 40446434 IPO shares and 404464340 total issued shares.
Quadruped and humanoid economics must be separated; listing does not establish humanoid profitability.</x:v>
      </x:c>
      <x:c r="M121" s="45" t="str">
        <x:v>Unitree.market_cap_status</x:v>
      </x:c>
    </x:row>
    <x:row r="122" ht="48" hidden="0" customHeight="1">
      <x:c r="A122" s="2"/>
      <x:c r="B122" s="2"/>
      <x:c r="C122" s="45" t="str">
        <x:v>Unitree</x:v>
      </x:c>
      <x:c r="D122" s="46" t="str">
        <x:v>688836</x:v>
      </x:c>
      <x:c r="E122" s="45" t="str">
        <x:v>CNY</x:v>
      </x:c>
      <x:c r="F122" s="45" t="str">
        <x:v>latest financial original not verified in this chapter</x:v>
      </x:c>
      <x:c r="G122" s="45" t="str">
        <x:v>price_reverification_note</x:v>
      </x:c>
      <x:c r="H122" s="45" t="str">
        <x:v>Direct historical source could not be reopened for the September 16 close. Google Finance September 17 price 500.90 less displayed change 26.62 indirectly corroborates 474.28; not a direct historical-close revalidation.</x:v>
      </x:c>
      <x:c r="I122" s="45" t="str">
        <x:v>원문 범위</x:v>
      </x:c>
      <x:c r="J122" s="49" t="n">
        <x:v>46282</x:v>
      </x:c>
      <x:c r="K122" s="45" t="str">
        <x:v>https://www.unitree.com/investor/
https://www.unitree.com/disclosure/listedinfo/announcement/宇树科技 关于变更注册资本、公司类型及修订《公司章程》并办理工商变更登记的公告.pdf
https://www.futunn.com/hk/stock/688836-SH</x:v>
      </x:c>
      <x:c r="L122" s="45" t="str">
        <x:v>Official Sep 3 notice confirms 40446434 IPO shares and 404464340 total issued shares.
Quadruped and humanoid economics must be separated; listing does not establish humanoid profitability.</x:v>
      </x:c>
      <x:c r="M122" s="45" t="str">
        <x:v>Unitree.price_reverification_note</x:v>
      </x:c>
    </x:row>
    <x:row r="123" ht="48" hidden="0" customHeight="1">
      <x:c r="A123" s="2"/>
      <x:c r="B123" s="2"/>
      <x:c r="C123" s="45" t="str">
        <x:v>Schaeffler</x:v>
      </x:c>
      <x:c r="D123" s="46" t="str">
        <x:v>SHA0</x:v>
      </x:c>
      <x:c r="E123" s="45" t="str">
        <x:v>EUR</x:v>
      </x:c>
      <x:c r="F123" s="45" t="str">
        <x:v>2026-09-16 17:38 GMT+2</x:v>
      </x:c>
      <x:c r="G123" s="45" t="str">
        <x:v>주가</x:v>
      </x:c>
      <x:c r="H123" s="51" t="n">
        <x:v>6.86</x:v>
      </x:c>
      <x:c r="I123" s="45" t="str">
        <x:v>통화/주</x:v>
      </x:c>
      <x:c r="J123" s="49" t="n">
        <x:v>46282</x:v>
      </x:c>
      <x:c r="K123" s="45" t="str">
        <x:v>https://www.schaeffler.com/remotemedien/media/_shared_media_rwd/08_investor_relations/reports/2026_h1_schaeffler_interim_financial_report_en_14cvjk.pdf
https://www.schaeffler.com/en/investor-relations/share/basic-data/
https://www.google.com/finance/quote/SHA0:ETR</x:v>
      </x:c>
      <x:c r="L123" s="45" t="str">
        <x:v>Reported EBIT differs from adjusted EBIT; net debt/adjusted EBITDA 2.4x.
EUR 1000m bonds issued in May; robot business does not dominate group financial results.</x:v>
      </x:c>
      <x:c r="M123" s="45" t="str">
        <x:v>Schaeffler.price</x:v>
      </x:c>
    </x:row>
    <x:row r="124" ht="48" hidden="0" customHeight="1">
      <x:c r="A124" s="2"/>
      <x:c r="B124" s="2"/>
      <x:c r="C124" s="45" t="str">
        <x:v>Schaeffler</x:v>
      </x:c>
      <x:c r="D124" s="46" t="str">
        <x:v>SHA0</x:v>
      </x:c>
      <x:c r="E124" s="45" t="str">
        <x:v>EUR</x:v>
      </x:c>
      <x:c r="F124" s="45" t="str">
        <x:v>2026-09-16 17:38 GMT+2</x:v>
      </x:c>
      <x:c r="G124" s="45" t="str">
        <x:v>시가총액</x:v>
      </x:c>
      <x:c r="H124" s="45" t="str">
        <x:v>미확인</x:v>
      </x:c>
      <x:c r="I124" s="45" t="str">
        <x:v>원문 범위</x:v>
      </x:c>
      <x:c r="J124" s="49" t="n">
        <x:v>46282</x:v>
      </x:c>
      <x:c r="K124" s="45" t="str">
        <x:v>https://www.schaeffler.com/remotemedien/media/_shared_media_rwd/08_investor_relations/reports/2026_h1_schaeffler_interim_financial_report_en_14cvjk.pdf
https://www.schaeffler.com/en/investor-relations/share/basic-data/
https://www.google.com/finance/quote/SHA0:ETR</x:v>
      </x:c>
      <x:c r="L124" s="45" t="str">
        <x:v>Reported EBIT differs from adjusted EBIT; net debt/adjusted EBITDA 2.4x.
EUR 1000m bonds issued in May; robot business does not dominate group financial results.</x:v>
      </x:c>
      <x:c r="M124" s="45" t="str">
        <x:v>Schaeffler.market_cap</x:v>
      </x:c>
    </x:row>
    <x:row r="125" ht="48" hidden="0" customHeight="1">
      <x:c r="A125" s="2"/>
      <x:c r="B125" s="2"/>
      <x:c r="C125" s="45" t="str">
        <x:v>Schaeffler</x:v>
      </x:c>
      <x:c r="D125" s="46" t="str">
        <x:v>SHA0</x:v>
      </x:c>
      <x:c r="E125" s="45" t="str">
        <x:v>EUR</x:v>
      </x:c>
      <x:c r="F125" s="45" t="str">
        <x:v>2026 H1, 6 months</x:v>
      </x:c>
      <x:c r="G125" s="45" t="str">
        <x:v>매출</x:v>
      </x:c>
      <x:c r="H125" s="51" t="n">
        <x:v>11667</x:v>
      </x:c>
      <x:c r="I125" s="45" t="str">
        <x:v>백만</x:v>
      </x:c>
      <x:c r="J125" s="49" t="n">
        <x:v>46282</x:v>
      </x:c>
      <x:c r="K125" s="45" t="str">
        <x:v>https://www.schaeffler.com/remotemedien/media/_shared_media_rwd/08_investor_relations/reports/2026_h1_schaeffler_interim_financial_report_en_14cvjk.pdf
https://www.schaeffler.com/en/investor-relations/share/basic-data/
https://www.google.com/finance/quote/SHA0:ETR</x:v>
      </x:c>
      <x:c r="L125" s="45" t="str">
        <x:v>Reported EBIT differs from adjusted EBIT; net debt/adjusted EBITDA 2.4x.
EUR 1000m bonds issued in May; robot business does not dominate group financial results.</x:v>
      </x:c>
      <x:c r="M125" s="45" t="str">
        <x:v>Schaeffler.revenue</x:v>
      </x:c>
    </x:row>
    <x:row r="126" ht="48" hidden="0" customHeight="1">
      <x:c r="A126" s="2"/>
      <x:c r="B126" s="2"/>
      <x:c r="C126" s="45" t="str">
        <x:v>Schaeffler</x:v>
      </x:c>
      <x:c r="D126" s="46" t="str">
        <x:v>SHA0</x:v>
      </x:c>
      <x:c r="E126" s="45" t="str">
        <x:v>EUR</x:v>
      </x:c>
      <x:c r="F126" s="45" t="str">
        <x:v>2026 H1, 6 months</x:v>
      </x:c>
      <x:c r="G126" s="45" t="str">
        <x:v>영업이익</x:v>
      </x:c>
      <x:c r="H126" s="51" t="n">
        <x:v>483</x:v>
      </x:c>
      <x:c r="I126" s="45" t="str">
        <x:v>백만</x:v>
      </x:c>
      <x:c r="J126" s="49" t="n">
        <x:v>46282</x:v>
      </x:c>
      <x:c r="K126" s="45" t="str">
        <x:v>https://www.schaeffler.com/remotemedien/media/_shared_media_rwd/08_investor_relations/reports/2026_h1_schaeffler_interim_financial_report_en_14cvjk.pdf
https://www.schaeffler.com/en/investor-relations/share/basic-data/
https://www.google.com/finance/quote/SHA0:ETR</x:v>
      </x:c>
      <x:c r="L126" s="45" t="str">
        <x:v>Reported EBIT differs from adjusted EBIT; net debt/adjusted EBITDA 2.4x.
EUR 1000m bonds issued in May; robot business does not dominate group financial results.</x:v>
      </x:c>
      <x:c r="M126" s="45" t="str">
        <x:v>Schaeffler.operating_profit</x:v>
      </x:c>
    </x:row>
    <x:row r="127" ht="48" hidden="0" customHeight="1">
      <x:c r="A127" s="2"/>
      <x:c r="B127" s="2"/>
      <x:c r="C127" s="45" t="str">
        <x:v>Schaeffler</x:v>
      </x:c>
      <x:c r="D127" s="46" t="str">
        <x:v>SHA0</x:v>
      </x:c>
      <x:c r="E127" s="45" t="str">
        <x:v>EUR</x:v>
      </x:c>
      <x:c r="F127" s="45" t="str">
        <x:v>2026-06-30</x:v>
      </x:c>
      <x:c r="G127" s="45" t="str">
        <x:v>현금</x:v>
      </x:c>
      <x:c r="H127" s="51" t="n">
        <x:v>2517</x:v>
      </x:c>
      <x:c r="I127" s="45" t="str">
        <x:v>백만</x:v>
      </x:c>
      <x:c r="J127" s="49" t="n">
        <x:v>46282</x:v>
      </x:c>
      <x:c r="K127" s="45" t="str">
        <x:v>https://www.schaeffler.com/remotemedien/media/_shared_media_rwd/08_investor_relations/reports/2026_h1_schaeffler_interim_financial_report_en_14cvjk.pdf
https://www.schaeffler.com/en/investor-relations/share/basic-data/
https://www.google.com/finance/quote/SHA0:ETR</x:v>
      </x:c>
      <x:c r="L127" s="45" t="str">
        <x:v>Reported EBIT differs from adjusted EBIT; net debt/adjusted EBITDA 2.4x.
EUR 1000m bonds issued in May; robot business does not dominate group financial results.</x:v>
      </x:c>
      <x:c r="M127" s="45" t="str">
        <x:v>Schaeffler.cash</x:v>
      </x:c>
    </x:row>
    <x:row r="128" ht="48" hidden="0" customHeight="1">
      <x:c r="A128" s="2"/>
      <x:c r="B128" s="2"/>
      <x:c r="C128" s="45" t="str">
        <x:v>Schaeffler</x:v>
      </x:c>
      <x:c r="D128" s="46" t="str">
        <x:v>SHA0</x:v>
      </x:c>
      <x:c r="E128" s="45" t="str">
        <x:v>EUR</x:v>
      </x:c>
      <x:c r="F128" s="45" t="str">
        <x:v>2026-06-30</x:v>
      </x:c>
      <x:c r="G128" s="45" t="str">
        <x:v>차입금</x:v>
      </x:c>
      <x:c r="H128" s="51" t="n">
        <x:v>8063</x:v>
      </x:c>
      <x:c r="I128" s="45" t="str">
        <x:v>백만</x:v>
      </x:c>
      <x:c r="J128" s="49" t="n">
        <x:v>46282</x:v>
      </x:c>
      <x:c r="K128" s="45" t="str">
        <x:v>https://www.schaeffler.com/remotemedien/media/_shared_media_rwd/08_investor_relations/reports/2026_h1_schaeffler_interim_financial_report_en_14cvjk.pdf
https://www.schaeffler.com/en/investor-relations/share/basic-data/
https://www.google.com/finance/quote/SHA0:ETR</x:v>
      </x:c>
      <x:c r="L128" s="45" t="str">
        <x:v>Reported EBIT differs from adjusted EBIT; net debt/adjusted EBITDA 2.4x.
EUR 1000m bonds issued in May; robot business does not dominate group financial results.</x:v>
      </x:c>
      <x:c r="M128" s="45" t="str">
        <x:v>Schaeffler.debt</x:v>
      </x:c>
    </x:row>
    <x:row r="129" ht="48" hidden="0" customHeight="1">
      <x:c r="A129" s="2"/>
      <x:c r="B129" s="2"/>
      <x:c r="C129" s="45" t="str">
        <x:v>Schaeffler</x:v>
      </x:c>
      <x:c r="D129" s="46" t="str">
        <x:v>SHA0</x:v>
      </x:c>
      <x:c r="E129" s="45" t="str">
        <x:v>EUR</x:v>
      </x:c>
      <x:c r="F129" s="45" t="str">
        <x:v>2026 H1</x:v>
      </x:c>
      <x:c r="G129" s="45" t="str">
        <x:v>영업현금흐름</x:v>
      </x:c>
      <x:c r="H129" s="51" t="n">
        <x:v>184</x:v>
      </x:c>
      <x:c r="I129" s="45" t="str">
        <x:v>백만</x:v>
      </x:c>
      <x:c r="J129" s="49" t="n">
        <x:v>46282</x:v>
      </x:c>
      <x:c r="K129" s="45" t="str">
        <x:v>https://www.schaeffler.com/remotemedien/media/_shared_media_rwd/08_investor_relations/reports/2026_h1_schaeffler_interim_financial_report_en_14cvjk.pdf
https://www.schaeffler.com/en/investor-relations/share/basic-data/
https://www.google.com/finance/quote/SHA0:ETR</x:v>
      </x:c>
      <x:c r="L129" s="45" t="str">
        <x:v>Reported EBIT differs from adjusted EBIT; net debt/adjusted EBITDA 2.4x.
EUR 1000m bonds issued in May; robot business does not dominate group financial results.</x:v>
      </x:c>
      <x:c r="M129" s="45" t="str">
        <x:v>Schaeffler.operating_cash_flow</x:v>
      </x:c>
    </x:row>
    <x:row r="130" ht="48" hidden="0" customHeight="1">
      <x:c r="A130" s="2"/>
      <x:c r="B130" s="2"/>
      <x:c r="C130" s="45" t="str">
        <x:v>Schaeffler</x:v>
      </x:c>
      <x:c r="D130" s="46" t="str">
        <x:v>SHA0</x:v>
      </x:c>
      <x:c r="E130" s="45" t="str">
        <x:v>EUR</x:v>
      </x:c>
      <x:c r="F130" s="45" t="str">
        <x:v>2026 H1</x:v>
      </x:c>
      <x:c r="G130" s="45" t="str">
        <x:v>설비·무형자산 투자</x:v>
      </x:c>
      <x:c r="H130" s="51" t="n">
        <x:v>432</x:v>
      </x:c>
      <x:c r="I130" s="45" t="str">
        <x:v>백만</x:v>
      </x:c>
      <x:c r="J130" s="49" t="n">
        <x:v>46282</x:v>
      </x:c>
      <x:c r="K130" s="45" t="str">
        <x:v>https://www.schaeffler.com/remotemedien/media/_shared_media_rwd/08_investor_relations/reports/2026_h1_schaeffler_interim_financial_report_en_14cvjk.pdf
https://www.schaeffler.com/en/investor-relations/share/basic-data/
https://www.google.com/finance/quote/SHA0:ETR</x:v>
      </x:c>
      <x:c r="L130" s="45" t="str">
        <x:v>Reported EBIT differs from adjusted EBIT; net debt/adjusted EBITDA 2.4x.
EUR 1000m bonds issued in May; robot business does not dominate group financial results.</x:v>
      </x:c>
      <x:c r="M130" s="45" t="str">
        <x:v>Schaeffler.capex</x:v>
      </x:c>
    </x:row>
    <x:row r="131" ht="48" hidden="0" customHeight="1">
      <x:c r="A131" s="2"/>
      <x:c r="B131" s="2"/>
      <x:c r="C131" s="45" t="str">
        <x:v>Schaeffler</x:v>
      </x:c>
      <x:c r="D131" s="46" t="str">
        <x:v>SHA0</x:v>
      </x:c>
      <x:c r="E131" s="45" t="str">
        <x:v>EUR</x:v>
      </x:c>
      <x:c r="F131" s="45" t="str">
        <x:v>2026 H1</x:v>
      </x:c>
      <x:c r="G131" s="45" t="str">
        <x:v>잉여현금흐름</x:v>
      </x:c>
      <x:c r="H131" s="51" t="n">
        <x:v>-325</x:v>
      </x:c>
      <x:c r="I131" s="45" t="str">
        <x:v>백만</x:v>
      </x:c>
      <x:c r="J131" s="49" t="n">
        <x:v>46282</x:v>
      </x:c>
      <x:c r="K131" s="45" t="str">
        <x:v>https://www.schaeffler.com/remotemedien/media/_shared_media_rwd/08_investor_relations/reports/2026_h1_schaeffler_interim_financial_report_en_14cvjk.pdf
https://www.schaeffler.com/en/investor-relations/share/basic-data/
https://www.google.com/finance/quote/SHA0:ETR</x:v>
      </x:c>
      <x:c r="L131" s="45" t="str">
        <x:v>Reported EBIT differs from adjusted EBIT; net debt/adjusted EBITDA 2.4x.
EUR 1000m bonds issued in May; robot business does not dominate group financial results.</x:v>
      </x:c>
      <x:c r="M131" s="45" t="str">
        <x:v>Schaeffler.free_cash_flow</x:v>
      </x:c>
    </x:row>
    <x:row r="132" ht="48" hidden="0" customHeight="1">
      <x:c r="A132" s="2"/>
      <x:c r="B132" s="2"/>
      <x:c r="C132" s="45" t="str">
        <x:v>Schaeffler</x:v>
      </x:c>
      <x:c r="D132" s="46" t="str">
        <x:v>SHA0</x:v>
      </x:c>
      <x:c r="E132" s="45" t="str">
        <x:v>EUR</x:v>
      </x:c>
      <x:c r="F132" s="45" t="str">
        <x:v>2026 H1, 6 months</x:v>
      </x:c>
      <x:c r="G132" s="45" t="str">
        <x:v>exchange</x:v>
      </x:c>
      <x:c r="H132" s="45" t="str">
        <x:v>Frankfurt Prime Standard</x:v>
      </x:c>
      <x:c r="I132" s="45" t="str">
        <x:v>원문 범위</x:v>
      </x:c>
      <x:c r="J132" s="49" t="n">
        <x:v>46282</x:v>
      </x:c>
      <x:c r="K132" s="45" t="str">
        <x:v>https://www.schaeffler.com/remotemedien/media/_shared_media_rwd/08_investor_relations/reports/2026_h1_schaeffler_interim_financial_report_en_14cvjk.pdf
https://www.schaeffler.com/en/investor-relations/share/basic-data/
https://www.google.com/finance/quote/SHA0:ETR</x:v>
      </x:c>
      <x:c r="L132" s="45" t="str">
        <x:v>Reported EBIT differs from adjusted EBIT; net debt/adjusted EBITDA 2.4x.
EUR 1000m bonds issued in May; robot business does not dominate group financial results.</x:v>
      </x:c>
      <x:c r="M132" s="45" t="str">
        <x:v>Schaeffler.exchange</x:v>
      </x:c>
    </x:row>
    <x:row r="133" ht="48" hidden="0" customHeight="1">
      <x:c r="A133" s="2"/>
      <x:c r="B133" s="2"/>
      <x:c r="C133" s="45" t="str">
        <x:v>Schaeffler</x:v>
      </x:c>
      <x:c r="D133" s="46" t="str">
        <x:v>SHA0</x:v>
      </x:c>
      <x:c r="E133" s="45" t="str">
        <x:v>EUR</x:v>
      </x:c>
      <x:c r="F133" s="45" t="str">
        <x:v>2026 H1, 6 months</x:v>
      </x:c>
      <x:c r="G133" s="45" t="str">
        <x:v>listed_status</x:v>
      </x:c>
      <x:c r="H133" s="45" t="str">
        <x:v>listed_verified</x:v>
      </x:c>
      <x:c r="I133" s="45" t="str">
        <x:v>원문 범위</x:v>
      </x:c>
      <x:c r="J133" s="49" t="n">
        <x:v>46282</x:v>
      </x:c>
      <x:c r="K133" s="45" t="str">
        <x:v>https://www.schaeffler.com/remotemedien/media/_shared_media_rwd/08_investor_relations/reports/2026_h1_schaeffler_interim_financial_report_en_14cvjk.pdf
https://www.schaeffler.com/en/investor-relations/share/basic-data/
https://www.google.com/finance/quote/SHA0:ETR</x:v>
      </x:c>
      <x:c r="L133" s="45" t="str">
        <x:v>Reported EBIT differs from adjusted EBIT; net debt/adjusted EBITDA 2.4x.
EUR 1000m bonds issued in May; robot business does not dominate group financial results.</x:v>
      </x:c>
      <x:c r="M133" s="45" t="str">
        <x:v>Schaeffler.listed_status</x:v>
      </x:c>
    </x:row>
    <x:row r="134" ht="48" hidden="0" customHeight="1">
      <x:c r="A134" s="2"/>
      <x:c r="B134" s="2"/>
      <x:c r="C134" s="45" t="str">
        <x:v>Schaeffler</x:v>
      </x:c>
      <x:c r="D134" s="46" t="str">
        <x:v>SHA0</x:v>
      </x:c>
      <x:c r="E134" s="45" t="str">
        <x:v>EUR</x:v>
      </x:c>
      <x:c r="F134" s="45" t="str">
        <x:v>2026 H1, 6 months</x:v>
      </x:c>
      <x:c r="G134" s="45" t="str">
        <x:v>as_of</x:v>
      </x:c>
      <x:c r="H134" s="45" t="str">
        <x:v>2026-09-17</x:v>
      </x:c>
      <x:c r="I134" s="45" t="str">
        <x:v>원문 범위</x:v>
      </x:c>
      <x:c r="J134" s="49" t="n">
        <x:v>46282</x:v>
      </x:c>
      <x:c r="K134" s="45" t="str">
        <x:v>https://www.schaeffler.com/remotemedien/media/_shared_media_rwd/08_investor_relations/reports/2026_h1_schaeffler_interim_financial_report_en_14cvjk.pdf
https://www.schaeffler.com/en/investor-relations/share/basic-data/
https://www.google.com/finance/quote/SHA0:ETR</x:v>
      </x:c>
      <x:c r="L134" s="45" t="str">
        <x:v>Reported EBIT differs from adjusted EBIT; net debt/adjusted EBITDA 2.4x.
EUR 1000m bonds issued in May; robot business does not dominate group financial results.</x:v>
      </x:c>
      <x:c r="M134" s="45" t="str">
        <x:v>Schaeffler.as_of</x:v>
      </x:c>
    </x:row>
    <x:row r="135" ht="48" hidden="0" customHeight="1">
      <x:c r="A135" s="2"/>
      <x:c r="B135" s="2"/>
      <x:c r="C135" s="45" t="str">
        <x:v>Schaeffler</x:v>
      </x:c>
      <x:c r="D135" s="46" t="str">
        <x:v>SHA0</x:v>
      </x:c>
      <x:c r="E135" s="45" t="str">
        <x:v>EUR</x:v>
      </x:c>
      <x:c r="F135" s="45" t="str">
        <x:v>2026 H1, 6 months</x:v>
      </x:c>
      <x:c r="G135" s="45" t="str">
        <x:v>주가 관측 시점</x:v>
      </x:c>
      <x:c r="H135" s="45" t="str">
        <x:v>2026-09-16 17:38 GMT+2</x:v>
      </x:c>
      <x:c r="I135" s="45" t="str">
        <x:v>원문 범위</x:v>
      </x:c>
      <x:c r="J135" s="49" t="n">
        <x:v>46282</x:v>
      </x:c>
      <x:c r="K135" s="45" t="str">
        <x:v>https://www.schaeffler.com/remotemedien/media/_shared_media_rwd/08_investor_relations/reports/2026_h1_schaeffler_interim_financial_report_en_14cvjk.pdf
https://www.schaeffler.com/en/investor-relations/share/basic-data/
https://www.google.com/finance/quote/SHA0:ETR</x:v>
      </x:c>
      <x:c r="L135" s="45" t="str">
        <x:v>Reported EBIT differs from adjusted EBIT; net debt/adjusted EBITDA 2.4x.
EUR 1000m bonds issued in May; robot business does not dominate group financial results.</x:v>
      </x:c>
      <x:c r="M135" s="45" t="str">
        <x:v>Schaeffler.price_date</x:v>
      </x:c>
    </x:row>
    <x:row r="136" ht="48" hidden="0" customHeight="1">
      <x:c r="A136" s="2"/>
      <x:c r="B136" s="2"/>
      <x:c r="C136" s="45" t="str">
        <x:v>Schaeffler</x:v>
      </x:c>
      <x:c r="D136" s="46" t="str">
        <x:v>SHA0</x:v>
      </x:c>
      <x:c r="E136" s="45" t="str">
        <x:v>EUR</x:v>
      </x:c>
      <x:c r="F136" s="45" t="str">
        <x:v>2026 H1, 6 months</x:v>
      </x:c>
      <x:c r="G136" s="45" t="str">
        <x:v>price_currency</x:v>
      </x:c>
      <x:c r="H136" s="45" t="str">
        <x:v>EUR</x:v>
      </x:c>
      <x:c r="I136" s="45" t="str">
        <x:v>원문 범위</x:v>
      </x:c>
      <x:c r="J136" s="49" t="n">
        <x:v>46282</x:v>
      </x:c>
      <x:c r="K136" s="45" t="str">
        <x:v>https://www.schaeffler.com/remotemedien/media/_shared_media_rwd/08_investor_relations/reports/2026_h1_schaeffler_interim_financial_report_en_14cvjk.pdf
https://www.schaeffler.com/en/investor-relations/share/basic-data/
https://www.google.com/finance/quote/SHA0:ETR</x:v>
      </x:c>
      <x:c r="L136" s="45" t="str">
        <x:v>Reported EBIT differs from adjusted EBIT; net debt/adjusted EBITDA 2.4x.
EUR 1000m bonds issued in May; robot business does not dominate group financial results.</x:v>
      </x:c>
      <x:c r="M136" s="45" t="str">
        <x:v>Schaeffler.price_currency</x:v>
      </x:c>
    </x:row>
    <x:row r="137" ht="48" hidden="0" customHeight="1">
      <x:c r="A137" s="2"/>
      <x:c r="B137" s="2"/>
      <x:c r="C137" s="45" t="str">
        <x:v>Schaeffler</x:v>
      </x:c>
      <x:c r="D137" s="46" t="str">
        <x:v>SHA0</x:v>
      </x:c>
      <x:c r="E137" s="45" t="str">
        <x:v>EUR</x:v>
      </x:c>
      <x:c r="F137" s="45" t="str">
        <x:v>2026-09-16 17:38 GMT+2</x:v>
      </x:c>
      <x:c r="G137" s="45" t="str">
        <x:v>market_cap_currency</x:v>
      </x:c>
      <x:c r="H137" s="45" t="str">
        <x:v>EUR</x:v>
      </x:c>
      <x:c r="I137" s="45" t="str">
        <x:v>원문 범위</x:v>
      </x:c>
      <x:c r="J137" s="49" t="n">
        <x:v>46282</x:v>
      </x:c>
      <x:c r="K137" s="45" t="str">
        <x:v>https://www.schaeffler.com/remotemedien/media/_shared_media_rwd/08_investor_relations/reports/2026_h1_schaeffler_interim_financial_report_en_14cvjk.pdf
https://www.schaeffler.com/en/investor-relations/share/basic-data/
https://www.google.com/finance/quote/SHA0:ETR</x:v>
      </x:c>
      <x:c r="L137" s="45" t="str">
        <x:v>Reported EBIT differs from adjusted EBIT; net debt/adjusted EBITDA 2.4x.
EUR 1000m bonds issued in May; robot business does not dominate group financial results.</x:v>
      </x:c>
      <x:c r="M137" s="45" t="str">
        <x:v>Schaeffler.market_cap_currency</x:v>
      </x:c>
    </x:row>
    <x:row r="138" ht="48" hidden="0" customHeight="1">
      <x:c r="A138" s="2"/>
      <x:c r="B138" s="2"/>
      <x:c r="C138" s="45" t="str">
        <x:v>Schaeffler</x:v>
      </x:c>
      <x:c r="D138" s="46" t="str">
        <x:v>SHA0</x:v>
      </x:c>
      <x:c r="E138" s="45" t="str">
        <x:v>EUR</x:v>
      </x:c>
      <x:c r="F138" s="45" t="str">
        <x:v>2026-09-16 17:38 GMT+2</x:v>
      </x:c>
      <x:c r="G138" s="45" t="str">
        <x:v>market_cap_unit</x:v>
      </x:c>
      <x:c r="H138" s="45" t="str">
        <x:v>million</x:v>
      </x:c>
      <x:c r="I138" s="45" t="str">
        <x:v>원문 범위</x:v>
      </x:c>
      <x:c r="J138" s="49" t="n">
        <x:v>46282</x:v>
      </x:c>
      <x:c r="K138" s="45" t="str">
        <x:v>https://www.schaeffler.com/remotemedien/media/_shared_media_rwd/08_investor_relations/reports/2026_h1_schaeffler_interim_financial_report_en_14cvjk.pdf
https://www.schaeffler.com/en/investor-relations/share/basic-data/
https://www.google.com/finance/quote/SHA0:ETR</x:v>
      </x:c>
      <x:c r="L138" s="45" t="str">
        <x:v>Reported EBIT differs from adjusted EBIT; net debt/adjusted EBITDA 2.4x.
EUR 1000m bonds issued in May; robot business does not dominate group financial results.</x:v>
      </x:c>
      <x:c r="M138" s="45" t="str">
        <x:v>Schaeffler.market_cap_unit</x:v>
      </x:c>
    </x:row>
    <x:row r="139" ht="48" hidden="0" customHeight="1">
      <x:c r="A139" s="2"/>
      <x:c r="B139" s="2"/>
      <x:c r="C139" s="45" t="str">
        <x:v>Schaeffler</x:v>
      </x:c>
      <x:c r="D139" s="46" t="str">
        <x:v>SHA0</x:v>
      </x:c>
      <x:c r="E139" s="45" t="str">
        <x:v>EUR</x:v>
      </x:c>
      <x:c r="F139" s="45" t="str">
        <x:v>2026 H1, 6 months</x:v>
      </x:c>
      <x:c r="G139" s="45" t="str">
        <x:v>실적 기간</x:v>
      </x:c>
      <x:c r="H139" s="45" t="str">
        <x:v>2026 H1, 6 months</x:v>
      </x:c>
      <x:c r="I139" s="45" t="str">
        <x:v>원문 범위</x:v>
      </x:c>
      <x:c r="J139" s="49" t="n">
        <x:v>46282</x:v>
      </x:c>
      <x:c r="K139" s="45" t="str">
        <x:v>https://www.schaeffler.com/remotemedien/media/_shared_media_rwd/08_investor_relations/reports/2026_h1_schaeffler_interim_financial_report_en_14cvjk.pdf
https://www.schaeffler.com/en/investor-relations/share/basic-data/
https://www.google.com/finance/quote/SHA0:ETR</x:v>
      </x:c>
      <x:c r="L139" s="45" t="str">
        <x:v>Reported EBIT differs from adjusted EBIT; net debt/adjusted EBITDA 2.4x.
EUR 1000m bonds issued in May; robot business does not dominate group financial results.</x:v>
      </x:c>
      <x:c r="M139" s="45" t="str">
        <x:v>Schaeffler.financial_period</x:v>
      </x:c>
    </x:row>
    <x:row r="140" ht="48" hidden="0" customHeight="1">
      <x:c r="A140" s="2"/>
      <x:c r="B140" s="2"/>
      <x:c r="C140" s="45" t="str">
        <x:v>Schaeffler</x:v>
      </x:c>
      <x:c r="D140" s="46" t="str">
        <x:v>SHA0</x:v>
      </x:c>
      <x:c r="E140" s="45" t="str">
        <x:v>EUR</x:v>
      </x:c>
      <x:c r="F140" s="45" t="str">
        <x:v>2026 H1, 6 months</x:v>
      </x:c>
      <x:c r="G140" s="45" t="str">
        <x:v>재무상태표 날짜</x:v>
      </x:c>
      <x:c r="H140" s="45" t="str">
        <x:v>2026-06-30</x:v>
      </x:c>
      <x:c r="I140" s="45" t="str">
        <x:v>원문 범위</x:v>
      </x:c>
      <x:c r="J140" s="49" t="n">
        <x:v>46282</x:v>
      </x:c>
      <x:c r="K140" s="45" t="str">
        <x:v>https://www.schaeffler.com/remotemedien/media/_shared_media_rwd/08_investor_relations/reports/2026_h1_schaeffler_interim_financial_report_en_14cvjk.pdf
https://www.schaeffler.com/en/investor-relations/share/basic-data/
https://www.google.com/finance/quote/SHA0:ETR</x:v>
      </x:c>
      <x:c r="L140" s="45" t="str">
        <x:v>Reported EBIT differs from adjusted EBIT; net debt/adjusted EBITDA 2.4x.
EUR 1000m bonds issued in May; robot business does not dominate group financial results.</x:v>
      </x:c>
      <x:c r="M140" s="45" t="str">
        <x:v>Schaeffler.balance_sheet_date</x:v>
      </x:c>
    </x:row>
    <x:row r="141" ht="48" hidden="0" customHeight="1">
      <x:c r="A141" s="2"/>
      <x:c r="B141" s="2"/>
      <x:c r="C141" s="45" t="str">
        <x:v>Schaeffler</x:v>
      </x:c>
      <x:c r="D141" s="46" t="str">
        <x:v>SHA0</x:v>
      </x:c>
      <x:c r="E141" s="45" t="str">
        <x:v>EUR</x:v>
      </x:c>
      <x:c r="F141" s="45" t="str">
        <x:v>2026 H1, 6 months</x:v>
      </x:c>
      <x:c r="G141" s="45" t="str">
        <x:v>monetary_unit</x:v>
      </x:c>
      <x:c r="H141" s="45" t="str">
        <x:v>million</x:v>
      </x:c>
      <x:c r="I141" s="45" t="str">
        <x:v>원문 범위</x:v>
      </x:c>
      <x:c r="J141" s="49" t="n">
        <x:v>46282</x:v>
      </x:c>
      <x:c r="K141" s="45" t="str">
        <x:v>https://www.schaeffler.com/remotemedien/media/_shared_media_rwd/08_investor_relations/reports/2026_h1_schaeffler_interim_financial_report_en_14cvjk.pdf
https://www.schaeffler.com/en/investor-relations/share/basic-data/
https://www.google.com/finance/quote/SHA0:ETR</x:v>
      </x:c>
      <x:c r="L141" s="45" t="str">
        <x:v>Reported EBIT differs from adjusted EBIT; net debt/adjusted EBITDA 2.4x.
EUR 1000m bonds issued in May; robot business does not dominate group financial results.</x:v>
      </x:c>
      <x:c r="M141" s="45" t="str">
        <x:v>Schaeffler.monetary_unit</x:v>
      </x:c>
    </x:row>
    <x:row r="142" ht="48" hidden="0" customHeight="1">
      <x:c r="A142" s="2"/>
      <x:c r="B142" s="2"/>
      <x:c r="C142" s="45" t="str">
        <x:v>Schaeffler</x:v>
      </x:c>
      <x:c r="D142" s="46" t="str">
        <x:v>SHA0</x:v>
      </x:c>
      <x:c r="E142" s="45" t="str">
        <x:v>EUR</x:v>
      </x:c>
      <x:c r="F142" s="45" t="str">
        <x:v>2026 H1, 6 months</x:v>
      </x:c>
      <x:c r="G142" s="45" t="str">
        <x:v>영업이익률</x:v>
      </x:c>
      <x:c r="H142" s="51" t="n">
        <x:v>4.139881717665209</x:v>
      </x:c>
      <x:c r="I142" s="45" t="str">
        <x:v>%</x:v>
      </x:c>
      <x:c r="J142" s="49" t="n">
        <x:v>46282</x:v>
      </x:c>
      <x:c r="K142" s="45" t="str">
        <x:v>https://www.schaeffler.com/remotemedien/media/_shared_media_rwd/08_investor_relations/reports/2026_h1_schaeffler_interim_financial_report_en_14cvjk.pdf
https://www.schaeffler.com/en/investor-relations/share/basic-data/
https://www.google.com/finance/quote/SHA0:ETR</x:v>
      </x:c>
      <x:c r="L142" s="45" t="str">
        <x:v>Reported EBIT differs from adjusted EBIT; net debt/adjusted EBITDA 2.4x.
EUR 1000m bonds issued in May; robot business does not dominate group financial results.</x:v>
      </x:c>
      <x:c r="M142" s="45" t="str">
        <x:v>Schaeffler.operating_margin_percent</x:v>
      </x:c>
    </x:row>
    <x:row r="143" ht="48" hidden="0" customHeight="1">
      <x:c r="A143" s="2"/>
      <x:c r="B143" s="2"/>
      <x:c r="C143" s="45" t="str">
        <x:v>Schaeffler</x:v>
      </x:c>
      <x:c r="D143" s="46" t="str">
        <x:v>SHA0</x:v>
      </x:c>
      <x:c r="E143" s="45" t="str">
        <x:v>EUR</x:v>
      </x:c>
      <x:c r="F143" s="45" t="str">
        <x:v>2026 H1, 6 months</x:v>
      </x:c>
      <x:c r="G143" s="45" t="str">
        <x:v>휴머노이드 매출 공개 범위</x:v>
      </x:c>
      <x:c r="H143" s="45" t="str">
        <x:v>not_separately_disclosed</x:v>
      </x:c>
      <x:c r="I143" s="45" t="str">
        <x:v>원문 범위</x:v>
      </x:c>
      <x:c r="J143" s="49" t="n">
        <x:v>46282</x:v>
      </x:c>
      <x:c r="K143" s="45" t="str">
        <x:v>https://www.schaeffler.com/remotemedien/media/_shared_media_rwd/08_investor_relations/reports/2026_h1_schaeffler_interim_financial_report_en_14cvjk.pdf
https://www.schaeffler.com/en/investor-relations/share/basic-data/
https://www.google.com/finance/quote/SHA0:ETR</x:v>
      </x:c>
      <x:c r="L143" s="45" t="str">
        <x:v>Reported EBIT differs from adjusted EBIT; net debt/adjusted EBITDA 2.4x.
EUR 1000m bonds issued in May; robot business does not dominate group financial results.</x:v>
      </x:c>
      <x:c r="M143" s="45" t="str">
        <x:v>Schaeffler.humanoid_revenue_disclosed</x:v>
      </x:c>
    </x:row>
    <x:row r="144" ht="48" hidden="0" customHeight="1">
      <x:c r="A144" s="2"/>
      <x:c r="B144" s="2"/>
      <x:c r="C144" s="45" t="str">
        <x:v>Schaeffler</x:v>
      </x:c>
      <x:c r="D144" s="46" t="str">
        <x:v>SHA0</x:v>
      </x:c>
      <x:c r="E144" s="45" t="str">
        <x:v>EUR</x:v>
      </x:c>
      <x:c r="F144" s="45" t="str">
        <x:v>2026 H1, 6 months</x:v>
      </x:c>
      <x:c r="G144" s="45" t="str">
        <x:v>해석 조건·한계</x:v>
      </x:c>
      <x:c r="H144" s="45" t="str">
        <x:v>Reported EBIT differs from adjusted EBIT; net debt/adjusted EBITDA 2.4x.
EUR 1000m bonds issued in May; robot business does not dominate group financial results.</x:v>
      </x:c>
      <x:c r="I144" s="45" t="str">
        <x:v>원문 범위</x:v>
      </x:c>
      <x:c r="J144" s="49" t="n">
        <x:v>46282</x:v>
      </x:c>
      <x:c r="K144" s="45" t="str">
        <x:v>https://www.schaeffler.com/remotemedien/media/_shared_media_rwd/08_investor_relations/reports/2026_h1_schaeffler_interim_financial_report_en_14cvjk.pdf
https://www.schaeffler.com/en/investor-relations/share/basic-data/
https://www.google.com/finance/quote/SHA0:ETR</x:v>
      </x:c>
      <x:c r="L144" s="45" t="str">
        <x:v>Reported EBIT differs from adjusted EBIT; net debt/adjusted EBITDA 2.4x.
EUR 1000m bonds issued in May; robot business does not dominate group financial results.</x:v>
      </x:c>
      <x:c r="M144" s="45" t="str">
        <x:v>Schaeffler.notes</x:v>
      </x:c>
    </x:row>
    <x:row r="145" ht="48" hidden="0" customHeight="1">
      <x:c r="A145" s="2"/>
      <x:c r="B145" s="2"/>
      <x:c r="C145" s="45" t="str">
        <x:v>Schaeffler</x:v>
      </x:c>
      <x:c r="D145" s="46" t="str">
        <x:v>SHA0</x:v>
      </x:c>
      <x:c r="E145" s="45" t="str">
        <x:v>EUR</x:v>
      </x:c>
      <x:c r="F145" s="45" t="str">
        <x:v>2026 H1, 6 months</x:v>
      </x:c>
      <x:c r="G145" s="45" t="str">
        <x:v>현금 범위</x:v>
      </x:c>
      <x:c r="H145" s="45" t="str">
        <x:v>cash and cash equivalents; includes restricted cash 336</x:v>
      </x:c>
      <x:c r="I145" s="45" t="str">
        <x:v>원문 범위</x:v>
      </x:c>
      <x:c r="J145" s="49" t="n">
        <x:v>46282</x:v>
      </x:c>
      <x:c r="K145" s="45" t="str">
        <x:v>https://www.schaeffler.com/remotemedien/media/_shared_media_rwd/08_investor_relations/reports/2026_h1_schaeffler_interim_financial_report_en_14cvjk.pdf
https://www.schaeffler.com/en/investor-relations/share/basic-data/
https://www.google.com/finance/quote/SHA0:ETR</x:v>
      </x:c>
      <x:c r="L145" s="45" t="str">
        <x:v>Reported EBIT differs from adjusted EBIT; net debt/adjusted EBITDA 2.4x.
EUR 1000m bonds issued in May; robot business does not dominate group financial results.</x:v>
      </x:c>
      <x:c r="M145" s="45" t="str">
        <x:v>Schaeffler.cash_scope</x:v>
      </x:c>
    </x:row>
    <x:row r="146" ht="48" hidden="0" customHeight="1">
      <x:c r="A146" s="2"/>
      <x:c r="B146" s="2"/>
      <x:c r="C146" s="45" t="str">
        <x:v>Schaeffler</x:v>
      </x:c>
      <x:c r="D146" s="46" t="str">
        <x:v>SHA0</x:v>
      </x:c>
      <x:c r="E146" s="45" t="str">
        <x:v>EUR</x:v>
      </x:c>
      <x:c r="F146" s="45" t="str">
        <x:v>2026 H1, 6 months</x:v>
      </x:c>
      <x:c r="G146" s="45" t="str">
        <x:v>차입금 범위</x:v>
      </x:c>
      <x:c r="H146" s="45" t="str">
        <x:v>financial debt</x:v>
      </x:c>
      <x:c r="I146" s="45" t="str">
        <x:v>원문 범위</x:v>
      </x:c>
      <x:c r="J146" s="49" t="n">
        <x:v>46282</x:v>
      </x:c>
      <x:c r="K146" s="45" t="str">
        <x:v>https://www.schaeffler.com/remotemedien/media/_shared_media_rwd/08_investor_relations/reports/2026_h1_schaeffler_interim_financial_report_en_14cvjk.pdf
https://www.schaeffler.com/en/investor-relations/share/basic-data/
https://www.google.com/finance/quote/SHA0:ETR</x:v>
      </x:c>
      <x:c r="L146" s="45" t="str">
        <x:v>Reported EBIT differs from adjusted EBIT; net debt/adjusted EBITDA 2.4x.
EUR 1000m bonds issued in May; robot business does not dominate group financial results.</x:v>
      </x:c>
      <x:c r="M146" s="45" t="str">
        <x:v>Schaeffler.debt_scope</x:v>
      </x:c>
    </x:row>
    <x:row r="147" ht="48" hidden="0" customHeight="1">
      <x:c r="A147" s="2"/>
      <x:c r="B147" s="2"/>
      <x:c r="C147" s="45" t="str">
        <x:v>Schaeffler</x:v>
      </x:c>
      <x:c r="D147" s="46" t="str">
        <x:v>SHA0</x:v>
      </x:c>
      <x:c r="E147" s="45" t="str">
        <x:v>EUR</x:v>
      </x:c>
      <x:c r="F147" s="45" t="str">
        <x:v>2026 H1, 6 months</x:v>
      </x:c>
      <x:c r="G147" s="45" t="str">
        <x:v>조정 영업이익</x:v>
      </x:c>
      <x:c r="H147" s="51" t="n">
        <x:v>549</x:v>
      </x:c>
      <x:c r="I147" s="45" t="str">
        <x:v>백만</x:v>
      </x:c>
      <x:c r="J147" s="49" t="n">
        <x:v>46282</x:v>
      </x:c>
      <x:c r="K147" s="45" t="str">
        <x:v>https://www.schaeffler.com/remotemedien/media/_shared_media_rwd/08_investor_relations/reports/2026_h1_schaeffler_interim_financial_report_en_14cvjk.pdf
https://www.schaeffler.com/en/investor-relations/share/basic-data/
https://www.google.com/finance/quote/SHA0:ETR</x:v>
      </x:c>
      <x:c r="L147" s="45" t="str">
        <x:v>Reported EBIT differs from adjusted EBIT; net debt/adjusted EBITDA 2.4x.
EUR 1000m bonds issued in May; robot business does not dominate group financial results.</x:v>
      </x:c>
      <x:c r="M147" s="45" t="str">
        <x:v>Schaeffler.adjusted_operating_profit</x:v>
      </x:c>
    </x:row>
    <x:row r="148" ht="48" hidden="0" customHeight="1">
      <x:c r="A148" s="2"/>
      <x:c r="B148" s="2"/>
      <x:c r="C148" s="45" t="str">
        <x:v>Schaeffler</x:v>
      </x:c>
      <x:c r="D148" s="46" t="str">
        <x:v>SHA0</x:v>
      </x:c>
      <x:c r="E148" s="45" t="str">
        <x:v>EUR</x:v>
      </x:c>
      <x:c r="F148" s="45" t="str">
        <x:v>2026 H1, 6 months</x:v>
      </x:c>
      <x:c r="G148" s="45" t="str">
        <x:v>net_financial_debt</x:v>
      </x:c>
      <x:c r="H148" s="51" t="n">
        <x:v>5545</x:v>
      </x:c>
      <x:c r="I148" s="45" t="str">
        <x:v>백만</x:v>
      </x:c>
      <x:c r="J148" s="49" t="n">
        <x:v>46282</x:v>
      </x:c>
      <x:c r="K148" s="45" t="str">
        <x:v>https://www.schaeffler.com/remotemedien/media/_shared_media_rwd/08_investor_relations/reports/2026_h1_schaeffler_interim_financial_report_en_14cvjk.pdf
https://www.schaeffler.com/en/investor-relations/share/basic-data/
https://www.google.com/finance/quote/SHA0:ETR</x:v>
      </x:c>
      <x:c r="L148" s="45" t="str">
        <x:v>Reported EBIT differs from adjusted EBIT; net debt/adjusted EBITDA 2.4x.
EUR 1000m bonds issued in May; robot business does not dominate group financial results.</x:v>
      </x:c>
      <x:c r="M148" s="45" t="str">
        <x:v>Schaeffler.net_financial_debt</x:v>
      </x:c>
    </x:row>
    <x:row r="149" ht="48" hidden="0" customHeight="1">
      <x:c r="A149" s="2"/>
      <x:c r="B149" s="2"/>
      <x:c r="C149" s="45" t="str">
        <x:v>Schaeffler</x:v>
      </x:c>
      <x:c r="D149" s="46" t="str">
        <x:v>SHA0</x:v>
      </x:c>
      <x:c r="E149" s="45" t="str">
        <x:v>EUR</x:v>
      </x:c>
      <x:c r="F149" s="45" t="str">
        <x:v>2026 H1, 6 months</x:v>
      </x:c>
      <x:c r="G149" s="45" t="str">
        <x:v>현금흐름 기간</x:v>
      </x:c>
      <x:c r="H149" s="45" t="str">
        <x:v>2026 H1</x:v>
      </x:c>
      <x:c r="I149" s="45" t="str">
        <x:v>원문 범위</x:v>
      </x:c>
      <x:c r="J149" s="49" t="n">
        <x:v>46282</x:v>
      </x:c>
      <x:c r="K149" s="45" t="str">
        <x:v>https://www.schaeffler.com/remotemedien/media/_shared_media_rwd/08_investor_relations/reports/2026_h1_schaeffler_interim_financial_report_en_14cvjk.pdf
https://www.schaeffler.com/en/investor-relations/share/basic-data/
https://www.google.com/finance/quote/SHA0:ETR</x:v>
      </x:c>
      <x:c r="L149" s="45" t="str">
        <x:v>Reported EBIT differs from adjusted EBIT; net debt/adjusted EBITDA 2.4x.
EUR 1000m bonds issued in May; robot business does not dominate group financial results.</x:v>
      </x:c>
      <x:c r="M149" s="45" t="str">
        <x:v>Schaeffler.cash_flow_period</x:v>
      </x:c>
    </x:row>
    <x:row r="150" ht="48" hidden="0" customHeight="1">
      <x:c r="A150" s="2"/>
      <x:c r="B150" s="2"/>
      <x:c r="C150" s="45" t="str">
        <x:v>Schaeffler</x:v>
      </x:c>
      <x:c r="D150" s="46" t="str">
        <x:v>SHA0</x:v>
      </x:c>
      <x:c r="E150" s="45" t="str">
        <x:v>EUR</x:v>
      </x:c>
      <x:c r="F150" s="45" t="str">
        <x:v>2026 H1, 6 months</x:v>
      </x:c>
      <x:c r="G150" s="45" t="str">
        <x:v>free_cash_flow_before_ma</x:v>
      </x:c>
      <x:c r="H150" s="51" t="n">
        <x:v>-300</x:v>
      </x:c>
      <x:c r="I150" s="45" t="str">
        <x:v>백만</x:v>
      </x:c>
      <x:c r="J150" s="49" t="n">
        <x:v>46282</x:v>
      </x:c>
      <x:c r="K150" s="45" t="str">
        <x:v>https://www.schaeffler.com/remotemedien/media/_shared_media_rwd/08_investor_relations/reports/2026_h1_schaeffler_interim_financial_report_en_14cvjk.pdf
https://www.schaeffler.com/en/investor-relations/share/basic-data/
https://www.google.com/finance/quote/SHA0:ETR</x:v>
      </x:c>
      <x:c r="L150" s="45" t="str">
        <x:v>Reported EBIT differs from adjusted EBIT; net debt/adjusted EBITDA 2.4x.
EUR 1000m bonds issued in May; robot business does not dominate group financial results.</x:v>
      </x:c>
      <x:c r="M150" s="45" t="str">
        <x:v>Schaeffler.free_cash_flow_before_ma</x:v>
      </x:c>
    </x:row>
    <x:row r="151" ht="48" hidden="0" customHeight="1">
      <x:c r="A151" s="2"/>
      <x:c r="B151" s="2"/>
      <x:c r="C151" s="45" t="str">
        <x:v>Schaeffler</x:v>
      </x:c>
      <x:c r="D151" s="46" t="str">
        <x:v>SHA0</x:v>
      </x:c>
      <x:c r="E151" s="45" t="str">
        <x:v>EUR</x:v>
      </x:c>
      <x:c r="F151" s="45" t="str">
        <x:v>2026 H1, 6 months</x:v>
      </x:c>
      <x:c r="G151" s="45" t="str">
        <x:v>발행주식 수</x:v>
      </x:c>
      <x:c r="H151" s="53" t="n">
        <x:v>944884641</x:v>
      </x:c>
      <x:c r="I151" s="45" t="str">
        <x:v>주</x:v>
      </x:c>
      <x:c r="J151" s="49" t="n">
        <x:v>46282</x:v>
      </x:c>
      <x:c r="K151" s="45" t="str">
        <x:v>https://www.schaeffler.com/remotemedien/media/_shared_media_rwd/08_investor_relations/reports/2026_h1_schaeffler_interim_financial_report_en_14cvjk.pdf
https://www.schaeffler.com/en/investor-relations/share/basic-data/
https://www.google.com/finance/quote/SHA0:ETR</x:v>
      </x:c>
      <x:c r="L151" s="45" t="str">
        <x:v>Reported EBIT differs from adjusted EBIT; net debt/adjusted EBITDA 2.4x.
EUR 1000m bonds issued in May; robot business does not dominate group financial results.</x:v>
      </x:c>
      <x:c r="M151" s="45" t="str">
        <x:v>Schaeffler.issued_shares</x:v>
      </x:c>
    </x:row>
    <x:row r="152" ht="48" hidden="0" customHeight="1">
      <x:c r="A152" s="2"/>
      <x:c r="B152" s="2"/>
      <x:c r="C152" s="45" t="str">
        <x:v>Schaeffler</x:v>
      </x:c>
      <x:c r="D152" s="46" t="str">
        <x:v>SHA0</x:v>
      </x:c>
      <x:c r="E152" s="45" t="str">
        <x:v>EUR</x:v>
      </x:c>
      <x:c r="F152" s="45" t="str">
        <x:v>2026-09-16 17:38 GMT+2</x:v>
      </x:c>
      <x:c r="G152" s="45" t="str">
        <x:v>서로 다른 날짜를 적용한 참고 지분가치</x:v>
      </x:c>
      <x:c r="H152" s="51" t="n">
        <x:v>6481.90863726</x:v>
      </x:c>
      <x:c r="I152" s="45" t="str">
        <x:v>백만</x:v>
      </x:c>
      <x:c r="J152" s="49" t="n">
        <x:v>46282</x:v>
      </x:c>
      <x:c r="K152" s="45" t="str">
        <x:v>https://www.schaeffler.com/remotemedien/media/_shared_media_rwd/08_investor_relations/reports/2026_h1_schaeffler_interim_financial_report_en_14cvjk.pdf
https://www.schaeffler.com/en/investor-relations/share/basic-data/
https://www.google.com/finance/quote/SHA0:ETR</x:v>
      </x:c>
      <x:c r="L152" s="45" t="str">
        <x:v>Reported EBIT differs from adjusted EBIT; net debt/adjusted EBITDA 2.4x.
EUR 1000m bonds issued in May; robot business does not dominate group financial results.</x:v>
      </x:c>
      <x:c r="M152" s="45" t="str">
        <x:v>Schaeffler.reference_equity_value_million</x:v>
      </x:c>
    </x:row>
    <x:row r="153" ht="48" hidden="0" customHeight="1">
      <x:c r="A153" s="2"/>
      <x:c r="B153" s="2"/>
      <x:c r="C153" s="45" t="str">
        <x:v>Schaeffler</x:v>
      </x:c>
      <x:c r="D153" s="46" t="str">
        <x:v>SHA0</x:v>
      </x:c>
      <x:c r="E153" s="45" t="str">
        <x:v>EUR</x:v>
      </x:c>
      <x:c r="F153" s="45" t="str">
        <x:v>2026-09-16 17:38 GMT+2</x:v>
      </x:c>
      <x:c r="G153" s="45" t="str">
        <x:v>시가총액 확인 범위</x:v>
      </x:c>
      <x:c r="H153" s="45" t="str">
        <x:v>reference_equity; official issued shares multiplied by displayed price</x:v>
      </x:c>
      <x:c r="I153" s="45" t="str">
        <x:v>원문 범위</x:v>
      </x:c>
      <x:c r="J153" s="49" t="n">
        <x:v>46282</x:v>
      </x:c>
      <x:c r="K153" s="45" t="str">
        <x:v>https://www.schaeffler.com/remotemedien/media/_shared_media_rwd/08_investor_relations/reports/2026_h1_schaeffler_interim_financial_report_en_14cvjk.pdf
https://www.schaeffler.com/en/investor-relations/share/basic-data/
https://www.google.com/finance/quote/SHA0:ETR</x:v>
      </x:c>
      <x:c r="L153" s="45" t="str">
        <x:v>Reported EBIT differs from adjusted EBIT; net debt/adjusted EBITDA 2.4x.
EUR 1000m bonds issued in May; robot business does not dominate group financial results.</x:v>
      </x:c>
      <x:c r="M153" s="45" t="str">
        <x:v>Schaeffler.market_cap_status</x:v>
      </x:c>
    </x:row>
    <x:row r="154" ht="48" hidden="0" customHeight="1">
      <x:c r="A154" s="2"/>
      <x:c r="B154" s="2"/>
      <x:c r="C154" s="45" t="str">
        <x:v>Harmonic Drive Systems</x:v>
      </x:c>
      <x:c r="D154" s="46" t="str">
        <x:v>6324</x:v>
      </x:c>
      <x:c r="E154" s="45" t="str">
        <x:v>JPY</x:v>
      </x:c>
      <x:c r="F154" s="45" t="str">
        <x:v>2026-09-17 11:16 JST intraday</x:v>
      </x:c>
      <x:c r="G154" s="45" t="str">
        <x:v>주가</x:v>
      </x:c>
      <x:c r="H154" s="51" t="n">
        <x:v>6020</x:v>
      </x:c>
      <x:c r="I154" s="45" t="str">
        <x:v>통화/주</x:v>
      </x:c>
      <x:c r="J154" s="49" t="n">
        <x:v>46282</x:v>
      </x:c>
      <x:c r="K154" s="45" t="str">
        <x:v>https://www.hds.co.jp/ir/
https://www.hds.co.jp/english/ir/stock/information/
https://www.hds.co.jp/ir/event/accounts/
https://www.google.com/finance/quote/6324:TYO</x:v>
      </x:c>
      <x:c r="L154" s="45" t="str">
        <x:v>Do not infer exclusive humanoid supply from precision reducer expertise.
Missing financial numbers mean original-source verification incomplete, not company non-disclosure.</x:v>
      </x:c>
      <x:c r="M154" s="45" t="str">
        <x:v>Harmonic Drive Systems.price</x:v>
      </x:c>
    </x:row>
    <x:row r="155" ht="48" hidden="0" customHeight="1">
      <x:c r="A155" s="2"/>
      <x:c r="B155" s="2"/>
      <x:c r="C155" s="45" t="str">
        <x:v>Harmonic Drive Systems</x:v>
      </x:c>
      <x:c r="D155" s="46" t="str">
        <x:v>6324</x:v>
      </x:c>
      <x:c r="E155" s="45" t="str">
        <x:v>JPY</x:v>
      </x:c>
      <x:c r="F155" s="45" t="str">
        <x:v>2026-09-17 11:16 JST intraday</x:v>
      </x:c>
      <x:c r="G155" s="45" t="str">
        <x:v>시가총액</x:v>
      </x:c>
      <x:c r="H155" s="51" t="n">
        <x:v>579820</x:v>
      </x:c>
      <x:c r="I155" s="45" t="str">
        <x:v>백만</x:v>
      </x:c>
      <x:c r="J155" s="49" t="n">
        <x:v>46282</x:v>
      </x:c>
      <x:c r="K155" s="45" t="str">
        <x:v>https://www.hds.co.jp/ir/
https://www.hds.co.jp/english/ir/stock/information/
https://www.hds.co.jp/ir/event/accounts/
https://www.google.com/finance/quote/6324:TYO</x:v>
      </x:c>
      <x:c r="L155" s="45" t="str">
        <x:v>Do not infer exclusive humanoid supply from precision reducer expertise.
Missing financial numbers mean original-source verification incomplete, not company non-disclosure.</x:v>
      </x:c>
      <x:c r="M155" s="45" t="str">
        <x:v>Harmonic Drive Systems.market_cap</x:v>
      </x:c>
    </x:row>
    <x:row r="156" ht="48" hidden="0" customHeight="1">
      <x:c r="A156" s="2"/>
      <x:c r="B156" s="2"/>
      <x:c r="C156" s="45" t="str">
        <x:v>Harmonic Drive Systems</x:v>
      </x:c>
      <x:c r="D156" s="46" t="str">
        <x:v>6324</x:v>
      </x:c>
      <x:c r="E156" s="45" t="str">
        <x:v>JPY</x:v>
      </x:c>
      <x:c r="F156" s="45" t="str">
        <x:v>FY2027 Q1 announcement identified; original financial values not yet verified</x:v>
      </x:c>
      <x:c r="G156" s="45" t="str">
        <x:v>매출</x:v>
      </x:c>
      <x:c r="H156" s="45" t="str">
        <x:v>미확인</x:v>
      </x:c>
      <x:c r="I156" s="45" t="str">
        <x:v>원문 범위</x:v>
      </x:c>
      <x:c r="J156" s="49" t="n">
        <x:v>46282</x:v>
      </x:c>
      <x:c r="K156" s="45" t="str">
        <x:v>https://www.hds.co.jp/ir/
https://www.hds.co.jp/english/ir/stock/information/
https://www.hds.co.jp/ir/event/accounts/
https://www.google.com/finance/quote/6324:TYO</x:v>
      </x:c>
      <x:c r="L156" s="45" t="str">
        <x:v>Do not infer exclusive humanoid supply from precision reducer expertise.
Missing financial numbers mean original-source verification incomplete, not company non-disclosure.</x:v>
      </x:c>
      <x:c r="M156" s="45" t="str">
        <x:v>Harmonic Drive Systems.revenue</x:v>
      </x:c>
    </x:row>
    <x:row r="157" ht="48" hidden="0" customHeight="1">
      <x:c r="A157" s="2"/>
      <x:c r="B157" s="2"/>
      <x:c r="C157" s="45" t="str">
        <x:v>Harmonic Drive Systems</x:v>
      </x:c>
      <x:c r="D157" s="46" t="str">
        <x:v>6324</x:v>
      </x:c>
      <x:c r="E157" s="45" t="str">
        <x:v>JPY</x:v>
      </x:c>
      <x:c r="F157" s="45" t="str">
        <x:v>FY2027 Q1 announcement identified; original financial values not yet verified</x:v>
      </x:c>
      <x:c r="G157" s="45" t="str">
        <x:v>영업이익</x:v>
      </x:c>
      <x:c r="H157" s="45" t="str">
        <x:v>미확인</x:v>
      </x:c>
      <x:c r="I157" s="45" t="str">
        <x:v>원문 범위</x:v>
      </x:c>
      <x:c r="J157" s="49" t="n">
        <x:v>46282</x:v>
      </x:c>
      <x:c r="K157" s="45" t="str">
        <x:v>https://www.hds.co.jp/ir/
https://www.hds.co.jp/english/ir/stock/information/
https://www.hds.co.jp/ir/event/accounts/
https://www.google.com/finance/quote/6324:TYO</x:v>
      </x:c>
      <x:c r="L157" s="45" t="str">
        <x:v>Do not infer exclusive humanoid supply from precision reducer expertise.
Missing financial numbers mean original-source verification incomplete, not company non-disclosure.</x:v>
      </x:c>
      <x:c r="M157" s="45" t="str">
        <x:v>Harmonic Drive Systems.operating_profit</x:v>
      </x:c>
    </x:row>
    <x:row r="158" ht="48" hidden="0" customHeight="1">
      <x:c r="A158" s="2"/>
      <x:c r="B158" s="2"/>
      <x:c r="C158" s="45" t="str">
        <x:v>Harmonic Drive Systems</x:v>
      </x:c>
      <x:c r="D158" s="46" t="str">
        <x:v>6324</x:v>
      </x:c>
      <x:c r="E158" s="45" t="str">
        <x:v>JPY</x:v>
      </x:c>
      <x:c r="F158" s="45" t="str">
        <x:v>2026-06-30</x:v>
      </x:c>
      <x:c r="G158" s="45" t="str">
        <x:v>현금</x:v>
      </x:c>
      <x:c r="H158" s="45" t="str">
        <x:v>미확인</x:v>
      </x:c>
      <x:c r="I158" s="45" t="str">
        <x:v>원문 범위</x:v>
      </x:c>
      <x:c r="J158" s="49" t="n">
        <x:v>46282</x:v>
      </x:c>
      <x:c r="K158" s="45" t="str">
        <x:v>https://www.hds.co.jp/ir/
https://www.hds.co.jp/english/ir/stock/information/
https://www.hds.co.jp/ir/event/accounts/
https://www.google.com/finance/quote/6324:TYO</x:v>
      </x:c>
      <x:c r="L158" s="45" t="str">
        <x:v>Do not infer exclusive humanoid supply from precision reducer expertise.
Missing financial numbers mean original-source verification incomplete, not company non-disclosure.</x:v>
      </x:c>
      <x:c r="M158" s="45" t="str">
        <x:v>Harmonic Drive Systems.cash</x:v>
      </x:c>
    </x:row>
    <x:row r="159" ht="48" hidden="0" customHeight="1">
      <x:c r="A159" s="2"/>
      <x:c r="B159" s="2"/>
      <x:c r="C159" s="45" t="str">
        <x:v>Harmonic Drive Systems</x:v>
      </x:c>
      <x:c r="D159" s="46" t="str">
        <x:v>6324</x:v>
      </x:c>
      <x:c r="E159" s="45" t="str">
        <x:v>JPY</x:v>
      </x:c>
      <x:c r="F159" s="45" t="str">
        <x:v>2026-06-30</x:v>
      </x:c>
      <x:c r="G159" s="45" t="str">
        <x:v>차입금</x:v>
      </x:c>
      <x:c r="H159" s="45" t="str">
        <x:v>미확인</x:v>
      </x:c>
      <x:c r="I159" s="45" t="str">
        <x:v>원문 범위</x:v>
      </x:c>
      <x:c r="J159" s="49" t="n">
        <x:v>46282</x:v>
      </x:c>
      <x:c r="K159" s="45" t="str">
        <x:v>https://www.hds.co.jp/ir/
https://www.hds.co.jp/english/ir/stock/information/
https://www.hds.co.jp/ir/event/accounts/
https://www.google.com/finance/quote/6324:TYO</x:v>
      </x:c>
      <x:c r="L159" s="45" t="str">
        <x:v>Do not infer exclusive humanoid supply from precision reducer expertise.
Missing financial numbers mean original-source verification incomplete, not company non-disclosure.</x:v>
      </x:c>
      <x:c r="M159" s="45" t="str">
        <x:v>Harmonic Drive Systems.debt</x:v>
      </x:c>
    </x:row>
    <x:row r="160" ht="48" hidden="0" customHeight="1">
      <x:c r="A160" s="2"/>
      <x:c r="B160" s="2"/>
      <x:c r="C160" s="45" t="str">
        <x:v>Harmonic Drive Systems</x:v>
      </x:c>
      <x:c r="D160" s="46" t="str">
        <x:v>6324</x:v>
      </x:c>
      <x:c r="E160" s="45" t="str">
        <x:v>JPY</x:v>
      </x:c>
      <x:c r="F160" s="45" t="str">
        <x:v>FY2027 Q1 announcement identified; original financial values not yet verified</x:v>
      </x:c>
      <x:c r="G160" s="45" t="str">
        <x:v>exchange</x:v>
      </x:c>
      <x:c r="H160" s="45" t="str">
        <x:v>Tokyo Stock Exchange Prime</x:v>
      </x:c>
      <x:c r="I160" s="45" t="str">
        <x:v>원문 범위</x:v>
      </x:c>
      <x:c r="J160" s="49" t="n">
        <x:v>46282</x:v>
      </x:c>
      <x:c r="K160" s="45" t="str">
        <x:v>https://www.hds.co.jp/ir/
https://www.hds.co.jp/english/ir/stock/information/
https://www.hds.co.jp/ir/event/accounts/
https://www.google.com/finance/quote/6324:TYO</x:v>
      </x:c>
      <x:c r="L160" s="45" t="str">
        <x:v>Do not infer exclusive humanoid supply from precision reducer expertise.
Missing financial numbers mean original-source verification incomplete, not company non-disclosure.</x:v>
      </x:c>
      <x:c r="M160" s="45" t="str">
        <x:v>Harmonic Drive Systems.exchange</x:v>
      </x:c>
    </x:row>
    <x:row r="161" ht="48" hidden="0" customHeight="1">
      <x:c r="A161" s="2"/>
      <x:c r="B161" s="2"/>
      <x:c r="C161" s="45" t="str">
        <x:v>Harmonic Drive Systems</x:v>
      </x:c>
      <x:c r="D161" s="46" t="str">
        <x:v>6324</x:v>
      </x:c>
      <x:c r="E161" s="45" t="str">
        <x:v>JPY</x:v>
      </x:c>
      <x:c r="F161" s="45" t="str">
        <x:v>FY2027 Q1 announcement identified; original financial values not yet verified</x:v>
      </x:c>
      <x:c r="G161" s="45" t="str">
        <x:v>listed_status</x:v>
      </x:c>
      <x:c r="H161" s="45" t="str">
        <x:v>listed_verified</x:v>
      </x:c>
      <x:c r="I161" s="45" t="str">
        <x:v>원문 범위</x:v>
      </x:c>
      <x:c r="J161" s="49" t="n">
        <x:v>46282</x:v>
      </x:c>
      <x:c r="K161" s="45" t="str">
        <x:v>https://www.hds.co.jp/ir/
https://www.hds.co.jp/english/ir/stock/information/
https://www.hds.co.jp/ir/event/accounts/
https://www.google.com/finance/quote/6324:TYO</x:v>
      </x:c>
      <x:c r="L161" s="45" t="str">
        <x:v>Do not infer exclusive humanoid supply from precision reducer expertise.
Missing financial numbers mean original-source verification incomplete, not company non-disclosure.</x:v>
      </x:c>
      <x:c r="M161" s="45" t="str">
        <x:v>Harmonic Drive Systems.listed_status</x:v>
      </x:c>
    </x:row>
    <x:row r="162" ht="48" hidden="0" customHeight="1">
      <x:c r="A162" s="2"/>
      <x:c r="B162" s="2"/>
      <x:c r="C162" s="45" t="str">
        <x:v>Harmonic Drive Systems</x:v>
      </x:c>
      <x:c r="D162" s="46" t="str">
        <x:v>6324</x:v>
      </x:c>
      <x:c r="E162" s="45" t="str">
        <x:v>JPY</x:v>
      </x:c>
      <x:c r="F162" s="45" t="str">
        <x:v>FY2027 Q1 announcement identified; original financial values not yet verified</x:v>
      </x:c>
      <x:c r="G162" s="45" t="str">
        <x:v>as_of</x:v>
      </x:c>
      <x:c r="H162" s="45" t="str">
        <x:v>2026-09-17</x:v>
      </x:c>
      <x:c r="I162" s="45" t="str">
        <x:v>원문 범위</x:v>
      </x:c>
      <x:c r="J162" s="49" t="n">
        <x:v>46282</x:v>
      </x:c>
      <x:c r="K162" s="45" t="str">
        <x:v>https://www.hds.co.jp/ir/
https://www.hds.co.jp/english/ir/stock/information/
https://www.hds.co.jp/ir/event/accounts/
https://www.google.com/finance/quote/6324:TYO</x:v>
      </x:c>
      <x:c r="L162" s="45" t="str">
        <x:v>Do not infer exclusive humanoid supply from precision reducer expertise.
Missing financial numbers mean original-source verification incomplete, not company non-disclosure.</x:v>
      </x:c>
      <x:c r="M162" s="45" t="str">
        <x:v>Harmonic Drive Systems.as_of</x:v>
      </x:c>
    </x:row>
    <x:row r="163" ht="48" hidden="0" customHeight="1">
      <x:c r="A163" s="2"/>
      <x:c r="B163" s="2"/>
      <x:c r="C163" s="45" t="str">
        <x:v>Harmonic Drive Systems</x:v>
      </x:c>
      <x:c r="D163" s="46" t="str">
        <x:v>6324</x:v>
      </x:c>
      <x:c r="E163" s="45" t="str">
        <x:v>JPY</x:v>
      </x:c>
      <x:c r="F163" s="45" t="str">
        <x:v>FY2027 Q1 announcement identified; original financial values not yet verified</x:v>
      </x:c>
      <x:c r="G163" s="45" t="str">
        <x:v>주가 관측 시점</x:v>
      </x:c>
      <x:c r="H163" s="45" t="str">
        <x:v>2026-09-17 11:16 JST intraday</x:v>
      </x:c>
      <x:c r="I163" s="45" t="str">
        <x:v>원문 범위</x:v>
      </x:c>
      <x:c r="J163" s="49" t="n">
        <x:v>46282</x:v>
      </x:c>
      <x:c r="K163" s="45" t="str">
        <x:v>https://www.hds.co.jp/ir/
https://www.hds.co.jp/english/ir/stock/information/
https://www.hds.co.jp/ir/event/accounts/
https://www.google.com/finance/quote/6324:TYO</x:v>
      </x:c>
      <x:c r="L163" s="45" t="str">
        <x:v>Do not infer exclusive humanoid supply from precision reducer expertise.
Missing financial numbers mean original-source verification incomplete, not company non-disclosure.</x:v>
      </x:c>
      <x:c r="M163" s="45" t="str">
        <x:v>Harmonic Drive Systems.price_date</x:v>
      </x:c>
    </x:row>
    <x:row r="164" ht="48" hidden="0" customHeight="1">
      <x:c r="A164" s="2"/>
      <x:c r="B164" s="2"/>
      <x:c r="C164" s="45" t="str">
        <x:v>Harmonic Drive Systems</x:v>
      </x:c>
      <x:c r="D164" s="46" t="str">
        <x:v>6324</x:v>
      </x:c>
      <x:c r="E164" s="45" t="str">
        <x:v>JPY</x:v>
      </x:c>
      <x:c r="F164" s="45" t="str">
        <x:v>FY2027 Q1 announcement identified; original financial values not yet verified</x:v>
      </x:c>
      <x:c r="G164" s="45" t="str">
        <x:v>price_currency</x:v>
      </x:c>
      <x:c r="H164" s="45" t="str">
        <x:v>JPY</x:v>
      </x:c>
      <x:c r="I164" s="45" t="str">
        <x:v>원문 범위</x:v>
      </x:c>
      <x:c r="J164" s="49" t="n">
        <x:v>46282</x:v>
      </x:c>
      <x:c r="K164" s="45" t="str">
        <x:v>https://www.hds.co.jp/ir/
https://www.hds.co.jp/english/ir/stock/information/
https://www.hds.co.jp/ir/event/accounts/
https://www.google.com/finance/quote/6324:TYO</x:v>
      </x:c>
      <x:c r="L164" s="45" t="str">
        <x:v>Do not infer exclusive humanoid supply from precision reducer expertise.
Missing financial numbers mean original-source verification incomplete, not company non-disclosure.</x:v>
      </x:c>
      <x:c r="M164" s="45" t="str">
        <x:v>Harmonic Drive Systems.price_currency</x:v>
      </x:c>
    </x:row>
    <x:row r="165" ht="48" hidden="0" customHeight="1">
      <x:c r="A165" s="2"/>
      <x:c r="B165" s="2"/>
      <x:c r="C165" s="45" t="str">
        <x:v>Harmonic Drive Systems</x:v>
      </x:c>
      <x:c r="D165" s="46" t="str">
        <x:v>6324</x:v>
      </x:c>
      <x:c r="E165" s="45" t="str">
        <x:v>JPY</x:v>
      </x:c>
      <x:c r="F165" s="45" t="str">
        <x:v>2026-09-17 11:16 JST intraday</x:v>
      </x:c>
      <x:c r="G165" s="45" t="str">
        <x:v>market_cap_currency</x:v>
      </x:c>
      <x:c r="H165" s="45" t="str">
        <x:v>JPY</x:v>
      </x:c>
      <x:c r="I165" s="45" t="str">
        <x:v>원문 범위</x:v>
      </x:c>
      <x:c r="J165" s="49" t="n">
        <x:v>46282</x:v>
      </x:c>
      <x:c r="K165" s="45" t="str">
        <x:v>https://www.hds.co.jp/ir/
https://www.hds.co.jp/english/ir/stock/information/
https://www.hds.co.jp/ir/event/accounts/
https://www.google.com/finance/quote/6324:TYO</x:v>
      </x:c>
      <x:c r="L165" s="45" t="str">
        <x:v>Do not infer exclusive humanoid supply from precision reducer expertise.
Missing financial numbers mean original-source verification incomplete, not company non-disclosure.</x:v>
      </x:c>
      <x:c r="M165" s="45" t="str">
        <x:v>Harmonic Drive Systems.market_cap_currency</x:v>
      </x:c>
    </x:row>
    <x:row r="166" ht="48" hidden="0" customHeight="1">
      <x:c r="A166" s="2"/>
      <x:c r="B166" s="2"/>
      <x:c r="C166" s="45" t="str">
        <x:v>Harmonic Drive Systems</x:v>
      </x:c>
      <x:c r="D166" s="46" t="str">
        <x:v>6324</x:v>
      </x:c>
      <x:c r="E166" s="45" t="str">
        <x:v>JPY</x:v>
      </x:c>
      <x:c r="F166" s="45" t="str">
        <x:v>2026-09-17 11:16 JST intraday</x:v>
      </x:c>
      <x:c r="G166" s="45" t="str">
        <x:v>market_cap_unit</x:v>
      </x:c>
      <x:c r="H166" s="45" t="str">
        <x:v>million</x:v>
      </x:c>
      <x:c r="I166" s="45" t="str">
        <x:v>원문 범위</x:v>
      </x:c>
      <x:c r="J166" s="49" t="n">
        <x:v>46282</x:v>
      </x:c>
      <x:c r="K166" s="45" t="str">
        <x:v>https://www.hds.co.jp/ir/
https://www.hds.co.jp/english/ir/stock/information/
https://www.hds.co.jp/ir/event/accounts/
https://www.google.com/finance/quote/6324:TYO</x:v>
      </x:c>
      <x:c r="L166" s="45" t="str">
        <x:v>Do not infer exclusive humanoid supply from precision reducer expertise.
Missing financial numbers mean original-source verification incomplete, not company non-disclosure.</x:v>
      </x:c>
      <x:c r="M166" s="45" t="str">
        <x:v>Harmonic Drive Systems.market_cap_unit</x:v>
      </x:c>
    </x:row>
    <x:row r="167" ht="48" hidden="0" customHeight="1">
      <x:c r="A167" s="2"/>
      <x:c r="B167" s="2"/>
      <x:c r="C167" s="45" t="str">
        <x:v>Harmonic Drive Systems</x:v>
      </x:c>
      <x:c r="D167" s="46" t="str">
        <x:v>6324</x:v>
      </x:c>
      <x:c r="E167" s="45" t="str">
        <x:v>JPY</x:v>
      </x:c>
      <x:c r="F167" s="45" t="str">
        <x:v>FY2027 Q1 announcement identified; original financial values not yet verified</x:v>
      </x:c>
      <x:c r="G167" s="45" t="str">
        <x:v>실적 기간</x:v>
      </x:c>
      <x:c r="H167" s="45" t="str">
        <x:v>FY2027 Q1 announcement identified; original financial values not yet verified</x:v>
      </x:c>
      <x:c r="I167" s="45" t="str">
        <x:v>원문 범위</x:v>
      </x:c>
      <x:c r="J167" s="49" t="n">
        <x:v>46282</x:v>
      </x:c>
      <x:c r="K167" s="45" t="str">
        <x:v>https://www.hds.co.jp/ir/
https://www.hds.co.jp/english/ir/stock/information/
https://www.hds.co.jp/ir/event/accounts/
https://www.google.com/finance/quote/6324:TYO</x:v>
      </x:c>
      <x:c r="L167" s="45" t="str">
        <x:v>Do not infer exclusive humanoid supply from precision reducer expertise.
Missing financial numbers mean original-source verification incomplete, not company non-disclosure.</x:v>
      </x:c>
      <x:c r="M167" s="45" t="str">
        <x:v>Harmonic Drive Systems.financial_period</x:v>
      </x:c>
    </x:row>
    <x:row r="168" ht="48" hidden="0" customHeight="1">
      <x:c r="A168" s="2"/>
      <x:c r="B168" s="2"/>
      <x:c r="C168" s="45" t="str">
        <x:v>Harmonic Drive Systems</x:v>
      </x:c>
      <x:c r="D168" s="46" t="str">
        <x:v>6324</x:v>
      </x:c>
      <x:c r="E168" s="45" t="str">
        <x:v>JPY</x:v>
      </x:c>
      <x:c r="F168" s="45" t="str">
        <x:v>FY2027 Q1 announcement identified; original financial values not yet verified</x:v>
      </x:c>
      <x:c r="G168" s="45" t="str">
        <x:v>재무상태표 날짜</x:v>
      </x:c>
      <x:c r="H168" s="45" t="str">
        <x:v>2026-06-30</x:v>
      </x:c>
      <x:c r="I168" s="45" t="str">
        <x:v>원문 범위</x:v>
      </x:c>
      <x:c r="J168" s="49" t="n">
        <x:v>46282</x:v>
      </x:c>
      <x:c r="K168" s="45" t="str">
        <x:v>https://www.hds.co.jp/ir/
https://www.hds.co.jp/english/ir/stock/information/
https://www.hds.co.jp/ir/event/accounts/
https://www.google.com/finance/quote/6324:TYO</x:v>
      </x:c>
      <x:c r="L168" s="45" t="str">
        <x:v>Do not infer exclusive humanoid supply from precision reducer expertise.
Missing financial numbers mean original-source verification incomplete, not company non-disclosure.</x:v>
      </x:c>
      <x:c r="M168" s="45" t="str">
        <x:v>Harmonic Drive Systems.balance_sheet_date</x:v>
      </x:c>
    </x:row>
    <x:row r="169" ht="48" hidden="0" customHeight="1">
      <x:c r="A169" s="2"/>
      <x:c r="B169" s="2"/>
      <x:c r="C169" s="45" t="str">
        <x:v>Harmonic Drive Systems</x:v>
      </x:c>
      <x:c r="D169" s="46" t="str">
        <x:v>6324</x:v>
      </x:c>
      <x:c r="E169" s="45" t="str">
        <x:v>JPY</x:v>
      </x:c>
      <x:c r="F169" s="45" t="str">
        <x:v>FY2027 Q1 announcement identified; original financial values not yet verified</x:v>
      </x:c>
      <x:c r="G169" s="45" t="str">
        <x:v>monetary_unit</x:v>
      </x:c>
      <x:c r="H169" s="45" t="str">
        <x:v>million</x:v>
      </x:c>
      <x:c r="I169" s="45" t="str">
        <x:v>원문 범위</x:v>
      </x:c>
      <x:c r="J169" s="49" t="n">
        <x:v>46282</x:v>
      </x:c>
      <x:c r="K169" s="45" t="str">
        <x:v>https://www.hds.co.jp/ir/
https://www.hds.co.jp/english/ir/stock/information/
https://www.hds.co.jp/ir/event/accounts/
https://www.google.com/finance/quote/6324:TYO</x:v>
      </x:c>
      <x:c r="L169" s="45" t="str">
        <x:v>Do not infer exclusive humanoid supply from precision reducer expertise.
Missing financial numbers mean original-source verification incomplete, not company non-disclosure.</x:v>
      </x:c>
      <x:c r="M169" s="45" t="str">
        <x:v>Harmonic Drive Systems.monetary_unit</x:v>
      </x:c>
    </x:row>
    <x:row r="170" ht="48" hidden="0" customHeight="1">
      <x:c r="A170" s="2"/>
      <x:c r="B170" s="2"/>
      <x:c r="C170" s="45" t="str">
        <x:v>Harmonic Drive Systems</x:v>
      </x:c>
      <x:c r="D170" s="46" t="str">
        <x:v>6324</x:v>
      </x:c>
      <x:c r="E170" s="45" t="str">
        <x:v>JPY</x:v>
      </x:c>
      <x:c r="F170" s="45" t="str">
        <x:v>FY2027 Q1 announcement identified; original financial values not yet verified</x:v>
      </x:c>
      <x:c r="G170" s="45" t="str">
        <x:v>영업이익률</x:v>
      </x:c>
      <x:c r="H170" s="45" t="str">
        <x:v>미확인</x:v>
      </x:c>
      <x:c r="I170" s="45" t="str">
        <x:v>%</x:v>
      </x:c>
      <x:c r="J170" s="49" t="n">
        <x:v>46282</x:v>
      </x:c>
      <x:c r="K170" s="45" t="str">
        <x:v>https://www.hds.co.jp/ir/
https://www.hds.co.jp/english/ir/stock/information/
https://www.hds.co.jp/ir/event/accounts/
https://www.google.com/finance/quote/6324:TYO</x:v>
      </x:c>
      <x:c r="L170" s="45" t="str">
        <x:v>Do not infer exclusive humanoid supply from precision reducer expertise.
Missing financial numbers mean original-source verification incomplete, not company non-disclosure.</x:v>
      </x:c>
      <x:c r="M170" s="45" t="str">
        <x:v>Harmonic Drive Systems.operating_margin_percent</x:v>
      </x:c>
    </x:row>
    <x:row r="171" ht="48" hidden="0" customHeight="1">
      <x:c r="A171" s="2"/>
      <x:c r="B171" s="2"/>
      <x:c r="C171" s="45" t="str">
        <x:v>Harmonic Drive Systems</x:v>
      </x:c>
      <x:c r="D171" s="46" t="str">
        <x:v>6324</x:v>
      </x:c>
      <x:c r="E171" s="45" t="str">
        <x:v>JPY</x:v>
      </x:c>
      <x:c r="F171" s="45" t="str">
        <x:v>FY2027 Q1 announcement identified; original financial values not yet verified</x:v>
      </x:c>
      <x:c r="G171" s="45" t="str">
        <x:v>휴머노이드 매출 공개 범위</x:v>
      </x:c>
      <x:c r="H171" s="45" t="str">
        <x:v>not_separately_disclosed</x:v>
      </x:c>
      <x:c r="I171" s="45" t="str">
        <x:v>원문 범위</x:v>
      </x:c>
      <x:c r="J171" s="49" t="n">
        <x:v>46282</x:v>
      </x:c>
      <x:c r="K171" s="45" t="str">
        <x:v>https://www.hds.co.jp/ir/
https://www.hds.co.jp/english/ir/stock/information/
https://www.hds.co.jp/ir/event/accounts/
https://www.google.com/finance/quote/6324:TYO</x:v>
      </x:c>
      <x:c r="L171" s="45" t="str">
        <x:v>Do not infer exclusive humanoid supply from precision reducer expertise.
Missing financial numbers mean original-source verification incomplete, not company non-disclosure.</x:v>
      </x:c>
      <x:c r="M171" s="45" t="str">
        <x:v>Harmonic Drive Systems.humanoid_revenue_disclosed</x:v>
      </x:c>
    </x:row>
    <x:row r="172" ht="48" hidden="0" customHeight="1">
      <x:c r="A172" s="2"/>
      <x:c r="B172" s="2"/>
      <x:c r="C172" s="45" t="str">
        <x:v>Harmonic Drive Systems</x:v>
      </x:c>
      <x:c r="D172" s="46" t="str">
        <x:v>6324</x:v>
      </x:c>
      <x:c r="E172" s="45" t="str">
        <x:v>JPY</x:v>
      </x:c>
      <x:c r="F172" s="45" t="str">
        <x:v>FY2027 Q1 announcement identified; original financial values not yet verified</x:v>
      </x:c>
      <x:c r="G172" s="45" t="str">
        <x:v>해석 조건·한계</x:v>
      </x:c>
      <x:c r="H172" s="45" t="str">
        <x:v>Do not infer exclusive humanoid supply from precision reducer expertise.
Missing financial numbers mean original-source verification incomplete, not company non-disclosure.</x:v>
      </x:c>
      <x:c r="I172" s="45" t="str">
        <x:v>원문 범위</x:v>
      </x:c>
      <x:c r="J172" s="49" t="n">
        <x:v>46282</x:v>
      </x:c>
      <x:c r="K172" s="45" t="str">
        <x:v>https://www.hds.co.jp/ir/
https://www.hds.co.jp/english/ir/stock/information/
https://www.hds.co.jp/ir/event/accounts/
https://www.google.com/finance/quote/6324:TYO</x:v>
      </x:c>
      <x:c r="L172" s="45" t="str">
        <x:v>Do not infer exclusive humanoid supply from precision reducer expertise.
Missing financial numbers mean original-source verification incomplete, not company non-disclosure.</x:v>
      </x:c>
      <x:c r="M172" s="45" t="str">
        <x:v>Harmonic Drive Systems.notes</x:v>
      </x:c>
    </x:row>
    <x:row r="173" ht="48" hidden="0" customHeight="1">
      <x:c r="A173" s="2"/>
      <x:c r="B173" s="2"/>
      <x:c r="C173" s="45" t="str">
        <x:v>Harmonic Drive Systems</x:v>
      </x:c>
      <x:c r="D173" s="46" t="str">
        <x:v>6324</x:v>
      </x:c>
      <x:c r="E173" s="45" t="str">
        <x:v>JPY</x:v>
      </x:c>
      <x:c r="F173" s="45" t="str">
        <x:v>2026-09-17 11:16 JST intraday</x:v>
      </x:c>
      <x:c r="G173" s="45" t="str">
        <x:v>시가총액 확인 범위</x:v>
      </x:c>
      <x:c r="H173" s="45" t="str">
        <x:v>Google Finance reported rounded intraday market cap</x:v>
      </x:c>
      <x:c r="I173" s="45" t="str">
        <x:v>원문 범위</x:v>
      </x:c>
      <x:c r="J173" s="49" t="n">
        <x:v>46282</x:v>
      </x:c>
      <x:c r="K173" s="45" t="str">
        <x:v>https://www.hds.co.jp/ir/
https://www.hds.co.jp/english/ir/stock/information/
https://www.hds.co.jp/ir/event/accounts/
https://www.google.com/finance/quote/6324:TYO</x:v>
      </x:c>
      <x:c r="L173" s="45" t="str">
        <x:v>Do not infer exclusive humanoid supply from precision reducer expertise.
Missing financial numbers mean original-source verification incomplete, not company non-disclosure.</x:v>
      </x:c>
      <x:c r="M173" s="45" t="str">
        <x:v>Harmonic Drive Systems.market_cap_status</x:v>
      </x:c>
    </x:row>
    <x:row r="174" ht="48" hidden="0" customHeight="1">
      <x:c r="A174" s="2"/>
      <x:c r="B174" s="2"/>
      <x:c r="C174" s="45" t="str">
        <x:v>Harmonic Drive Systems</x:v>
      </x:c>
      <x:c r="D174" s="46" t="str">
        <x:v>6324</x:v>
      </x:c>
      <x:c r="E174" s="45" t="str">
        <x:v>JPY</x:v>
      </x:c>
      <x:c r="F174" s="45" t="str">
        <x:v>FY2027 Q1 announcement identified; original financial values not yet verified</x:v>
      </x:c>
      <x:c r="G174" s="45" t="str">
        <x:v>market_change_date</x:v>
      </x:c>
      <x:c r="H174" s="45" t="str">
        <x:v>2026-02-27 from Standard to Prime</x:v>
      </x:c>
      <x:c r="I174" s="45" t="str">
        <x:v>원문 범위</x:v>
      </x:c>
      <x:c r="J174" s="49" t="n">
        <x:v>46282</x:v>
      </x:c>
      <x:c r="K174" s="45" t="str">
        <x:v>https://www.hds.co.jp/ir/
https://www.hds.co.jp/english/ir/stock/information/
https://www.hds.co.jp/ir/event/accounts/
https://www.google.com/finance/quote/6324:TYO</x:v>
      </x:c>
      <x:c r="L174" s="45" t="str">
        <x:v>Do not infer exclusive humanoid supply from precision reducer expertise.
Missing financial numbers mean original-source verification incomplete, not company non-disclosure.</x:v>
      </x:c>
      <x:c r="M174" s="45" t="str">
        <x:v>Harmonic Drive Systems.market_change_date</x:v>
      </x:c>
    </x:row>
    <x:row r="175" ht="48" hidden="0" customHeight="1">
      <x:c r="A175" s="2"/>
      <x:c r="B175" s="2"/>
      <x:c r="C175" s="45" t="str">
        <x:v>Harmonic Drive Systems</x:v>
      </x:c>
      <x:c r="D175" s="46" t="str">
        <x:v>6324</x:v>
      </x:c>
      <x:c r="E175" s="45" t="str">
        <x:v>JPY</x:v>
      </x:c>
      <x:c r="F175" s="45" t="str">
        <x:v>FY2027 Q1 announcement identified; original financial values not yet verified</x:v>
      </x:c>
      <x:c r="G175" s="45" t="str">
        <x:v>price_reverification_note</x:v>
      </x:c>
      <x:c r="H175" s="45" t="str">
        <x:v>Original 2026-09-17 11:16 JST snapshot retained. Independent recheck at 12:37:14 JST displayed the same price 6020 and market cap 579820, but did not independently reproduce the earlier timestamp.</x:v>
      </x:c>
      <x:c r="I175" s="45" t="str">
        <x:v>원문 범위</x:v>
      </x:c>
      <x:c r="J175" s="49" t="n">
        <x:v>46282</x:v>
      </x:c>
      <x:c r="K175" s="45" t="str">
        <x:v>https://www.hds.co.jp/ir/
https://www.hds.co.jp/english/ir/stock/information/
https://www.hds.co.jp/ir/event/accounts/
https://www.google.com/finance/quote/6324:TYO</x:v>
      </x:c>
      <x:c r="L175" s="45" t="str">
        <x:v>Do not infer exclusive humanoid supply from precision reducer expertise.
Missing financial numbers mean original-source verification incomplete, not company non-disclosure.</x:v>
      </x:c>
      <x:c r="M175" s="45" t="str">
        <x:v>Harmonic Drive Systems.price_reverification_note</x:v>
      </x:c>
    </x:row>
    <x:row r="176" ht="24" hidden="0" customHeight="1">
      <x:c r="A176" s="2"/>
      <x:c r="B176" s="2"/>
      <x:c r="C176" s="45" t="str">
        <x:v>THK</x:v>
      </x:c>
      <x:c r="D176" s="46" t="str">
        <x:v>6481</x:v>
      </x:c>
      <x:c r="E176" s="45" t="str">
        <x:v>JPY</x:v>
      </x:c>
      <x:c r="F176" s="45" t="str">
        <x:v>2026-09-17 11:23 JST intraday</x:v>
      </x:c>
      <x:c r="G176" s="45" t="str">
        <x:v>주가</x:v>
      </x:c>
      <x:c r="H176" s="51" t="n">
        <x:v>6009</x:v>
      </x:c>
      <x:c r="I176" s="45" t="str">
        <x:v>통화/주</x:v>
      </x:c>
      <x:c r="J176" s="49" t="n">
        <x:v>46282</x:v>
      </x:c>
      <x:c r="K176" s="45" t="str">
        <x:v>https://www.thk.com/jp/wordpress/wp-content/uploads/2026/08/260805_financial_result_en.pdf
https://www.google.com/finance/quote/6481:TYO</x:v>
      </x:c>
      <x:c r="L176" s="45" t="str">
        <x:v>Revenue and operating income are continuing operations; owners' profit includes discontinued business.
Business transfer cash payment 13898 and transfer gain 16436 must be separated from recurring performance.</x:v>
      </x:c>
      <x:c r="M176" s="45" t="str">
        <x:v>THK.price</x:v>
      </x:c>
    </x:row>
    <x:row r="177" ht="24" hidden="0" customHeight="1">
      <x:c r="A177" s="2"/>
      <x:c r="B177" s="2"/>
      <x:c r="C177" s="45" t="str">
        <x:v>THK</x:v>
      </x:c>
      <x:c r="D177" s="46" t="str">
        <x:v>6481</x:v>
      </x:c>
      <x:c r="E177" s="45" t="str">
        <x:v>JPY</x:v>
      </x:c>
      <x:c r="F177" s="45" t="str">
        <x:v>2026-09-17 11:23 JST intraday</x:v>
      </x:c>
      <x:c r="G177" s="45" t="str">
        <x:v>시가총액</x:v>
      </x:c>
      <x:c r="H177" s="45" t="str">
        <x:v>미확인</x:v>
      </x:c>
      <x:c r="I177" s="45" t="str">
        <x:v>원문 범위</x:v>
      </x:c>
      <x:c r="J177" s="49" t="n">
        <x:v>46282</x:v>
      </x:c>
      <x:c r="K177" s="45" t="str">
        <x:v>https://www.thk.com/jp/wordpress/wp-content/uploads/2026/08/260805_financial_result_en.pdf
https://www.google.com/finance/quote/6481:TYO</x:v>
      </x:c>
      <x:c r="L177" s="45" t="str">
        <x:v>Revenue and operating income are continuing operations; owners' profit includes discontinued business.
Business transfer cash payment 13898 and transfer gain 16436 must be separated from recurring performance.</x:v>
      </x:c>
      <x:c r="M177" s="45" t="str">
        <x:v>THK.market_cap</x:v>
      </x:c>
    </x:row>
    <x:row r="178" ht="24" hidden="0" customHeight="1">
      <x:c r="A178" s="2"/>
      <x:c r="B178" s="2"/>
      <x:c r="C178" s="45" t="str">
        <x:v>THK</x:v>
      </x:c>
      <x:c r="D178" s="46" t="str">
        <x:v>6481</x:v>
      </x:c>
      <x:c r="E178" s="45" t="str">
        <x:v>JPY</x:v>
      </x:c>
      <x:c r="F178" s="45" t="str">
        <x:v>2026 H1, 6 months</x:v>
      </x:c>
      <x:c r="G178" s="45" t="str">
        <x:v>매출</x:v>
      </x:c>
      <x:c r="H178" s="51" t="n">
        <x:v>151067</x:v>
      </x:c>
      <x:c r="I178" s="45" t="str">
        <x:v>백만</x:v>
      </x:c>
      <x:c r="J178" s="49" t="n">
        <x:v>46282</x:v>
      </x:c>
      <x:c r="K178" s="45" t="str">
        <x:v>https://www.thk.com/jp/wordpress/wp-content/uploads/2026/08/260805_financial_result_en.pdf
https://www.google.com/finance/quote/6481:TYO</x:v>
      </x:c>
      <x:c r="L178" s="45" t="str">
        <x:v>Revenue and operating income are continuing operations; owners' profit includes discontinued business.
Business transfer cash payment 13898 and transfer gain 16436 must be separated from recurring performance.</x:v>
      </x:c>
      <x:c r="M178" s="45" t="str">
        <x:v>THK.revenue</x:v>
      </x:c>
    </x:row>
    <x:row r="179" ht="24" hidden="0" customHeight="1">
      <x:c r="A179" s="2"/>
      <x:c r="B179" s="2"/>
      <x:c r="C179" s="45" t="str">
        <x:v>THK</x:v>
      </x:c>
      <x:c r="D179" s="46" t="str">
        <x:v>6481</x:v>
      </x:c>
      <x:c r="E179" s="45" t="str">
        <x:v>JPY</x:v>
      </x:c>
      <x:c r="F179" s="45" t="str">
        <x:v>2026 H1, 6 months</x:v>
      </x:c>
      <x:c r="G179" s="45" t="str">
        <x:v>영업이익</x:v>
      </x:c>
      <x:c r="H179" s="51" t="n">
        <x:v>22483</x:v>
      </x:c>
      <x:c r="I179" s="45" t="str">
        <x:v>백만</x:v>
      </x:c>
      <x:c r="J179" s="49" t="n">
        <x:v>46282</x:v>
      </x:c>
      <x:c r="K179" s="45" t="str">
        <x:v>https://www.thk.com/jp/wordpress/wp-content/uploads/2026/08/260805_financial_result_en.pdf
https://www.google.com/finance/quote/6481:TYO</x:v>
      </x:c>
      <x:c r="L179" s="45" t="str">
        <x:v>Revenue and operating income are continuing operations; owners' profit includes discontinued business.
Business transfer cash payment 13898 and transfer gain 16436 must be separated from recurring performance.</x:v>
      </x:c>
      <x:c r="M179" s="45" t="str">
        <x:v>THK.operating_profit</x:v>
      </x:c>
    </x:row>
    <x:row r="180" ht="24" hidden="0" customHeight="1">
      <x:c r="A180" s="2"/>
      <x:c r="B180" s="2"/>
      <x:c r="C180" s="45" t="str">
        <x:v>THK</x:v>
      </x:c>
      <x:c r="D180" s="46" t="str">
        <x:v>6481</x:v>
      </x:c>
      <x:c r="E180" s="45" t="str">
        <x:v>JPY</x:v>
      </x:c>
      <x:c r="F180" s="45" t="str">
        <x:v>2026-06-30</x:v>
      </x:c>
      <x:c r="G180" s="45" t="str">
        <x:v>현금</x:v>
      </x:c>
      <x:c r="H180" s="51" t="n">
        <x:v>116924</x:v>
      </x:c>
      <x:c r="I180" s="45" t="str">
        <x:v>백만</x:v>
      </x:c>
      <x:c r="J180" s="49" t="n">
        <x:v>46282</x:v>
      </x:c>
      <x:c r="K180" s="45" t="str">
        <x:v>https://www.thk.com/jp/wordpress/wp-content/uploads/2026/08/260805_financial_result_en.pdf
https://www.google.com/finance/quote/6481:TYO</x:v>
      </x:c>
      <x:c r="L180" s="45" t="str">
        <x:v>Revenue and operating income are continuing operations; owners' profit includes discontinued business.
Business transfer cash payment 13898 and transfer gain 16436 must be separated from recurring performance.</x:v>
      </x:c>
      <x:c r="M180" s="45" t="str">
        <x:v>THK.cash</x:v>
      </x:c>
    </x:row>
    <x:row r="181" ht="24" hidden="0" customHeight="1">
      <x:c r="A181" s="2"/>
      <x:c r="B181" s="2"/>
      <x:c r="C181" s="45" t="str">
        <x:v>THK</x:v>
      </x:c>
      <x:c r="D181" s="46" t="str">
        <x:v>6481</x:v>
      </x:c>
      <x:c r="E181" s="45" t="str">
        <x:v>JPY</x:v>
      </x:c>
      <x:c r="F181" s="45" t="str">
        <x:v>2026-06-30</x:v>
      </x:c>
      <x:c r="G181" s="45" t="str">
        <x:v>차입금</x:v>
      </x:c>
      <x:c r="H181" s="51" t="n">
        <x:v>139813</x:v>
      </x:c>
      <x:c r="I181" s="45" t="str">
        <x:v>백만</x:v>
      </x:c>
      <x:c r="J181" s="49" t="n">
        <x:v>46282</x:v>
      </x:c>
      <x:c r="K181" s="45" t="str">
        <x:v>https://www.thk.com/jp/wordpress/wp-content/uploads/2026/08/260805_financial_result_en.pdf
https://www.google.com/finance/quote/6481:TYO</x:v>
      </x:c>
      <x:c r="L181" s="45" t="str">
        <x:v>Revenue and operating income are continuing operations; owners' profit includes discontinued business.
Business transfer cash payment 13898 and transfer gain 16436 must be separated from recurring performance.</x:v>
      </x:c>
      <x:c r="M181" s="45" t="str">
        <x:v>THK.debt</x:v>
      </x:c>
    </x:row>
    <x:row r="182" ht="24" hidden="0" customHeight="1">
      <x:c r="A182" s="2"/>
      <x:c r="B182" s="2"/>
      <x:c r="C182" s="45" t="str">
        <x:v>THK</x:v>
      </x:c>
      <x:c r="D182" s="46" t="str">
        <x:v>6481</x:v>
      </x:c>
      <x:c r="E182" s="45" t="str">
        <x:v>JPY</x:v>
      </x:c>
      <x:c r="F182" s="45" t="str">
        <x:v>2026 H1</x:v>
      </x:c>
      <x:c r="G182" s="45" t="str">
        <x:v>영업현금흐름</x:v>
      </x:c>
      <x:c r="H182" s="51" t="n">
        <x:v>18868</x:v>
      </x:c>
      <x:c r="I182" s="45" t="str">
        <x:v>백만</x:v>
      </x:c>
      <x:c r="J182" s="49" t="n">
        <x:v>46282</x:v>
      </x:c>
      <x:c r="K182" s="45" t="str">
        <x:v>https://www.thk.com/jp/wordpress/wp-content/uploads/2026/08/260805_financial_result_en.pdf
https://www.google.com/finance/quote/6481:TYO</x:v>
      </x:c>
      <x:c r="L182" s="45" t="str">
        <x:v>Revenue and operating income are continuing operations; owners' profit includes discontinued business.
Business transfer cash payment 13898 and transfer gain 16436 must be separated from recurring performance.</x:v>
      </x:c>
      <x:c r="M182" s="45" t="str">
        <x:v>THK.operating_cash_flow</x:v>
      </x:c>
    </x:row>
    <x:row r="183" ht="24" hidden="0" customHeight="1">
      <x:c r="A183" s="2"/>
      <x:c r="B183" s="2"/>
      <x:c r="C183" s="45" t="str">
        <x:v>THK</x:v>
      </x:c>
      <x:c r="D183" s="46" t="str">
        <x:v>6481</x:v>
      </x:c>
      <x:c r="E183" s="45" t="str">
        <x:v>JPY</x:v>
      </x:c>
      <x:c r="F183" s="45" t="str">
        <x:v>2026 H1</x:v>
      </x:c>
      <x:c r="G183" s="45" t="str">
        <x:v>설비·무형자산 투자</x:v>
      </x:c>
      <x:c r="H183" s="51" t="n">
        <x:v>8681</x:v>
      </x:c>
      <x:c r="I183" s="45" t="str">
        <x:v>백만</x:v>
      </x:c>
      <x:c r="J183" s="49" t="n">
        <x:v>46282</x:v>
      </x:c>
      <x:c r="K183" s="45" t="str">
        <x:v>https://www.thk.com/jp/wordpress/wp-content/uploads/2026/08/260805_financial_result_en.pdf
https://www.google.com/finance/quote/6481:TYO</x:v>
      </x:c>
      <x:c r="L183" s="45" t="str">
        <x:v>Revenue and operating income are continuing operations; owners' profit includes discontinued business.
Business transfer cash payment 13898 and transfer gain 16436 must be separated from recurring performance.</x:v>
      </x:c>
      <x:c r="M183" s="45" t="str">
        <x:v>THK.capex</x:v>
      </x:c>
    </x:row>
    <x:row r="184" ht="24" hidden="0" customHeight="1">
      <x:c r="A184" s="2"/>
      <x:c r="B184" s="2"/>
      <x:c r="C184" s="45" t="str">
        <x:v>THK</x:v>
      </x:c>
      <x:c r="D184" s="46" t="str">
        <x:v>6481</x:v>
      </x:c>
      <x:c r="E184" s="45" t="str">
        <x:v>JPY</x:v>
      </x:c>
      <x:c r="F184" s="45" t="str">
        <x:v>2026 H1</x:v>
      </x:c>
      <x:c r="G184" s="45" t="str">
        <x:v>잉여현금흐름</x:v>
      </x:c>
      <x:c r="H184" s="51" t="n">
        <x:v>10187</x:v>
      </x:c>
      <x:c r="I184" s="45" t="str">
        <x:v>백만</x:v>
      </x:c>
      <x:c r="J184" s="49" t="n">
        <x:v>46282</x:v>
      </x:c>
      <x:c r="K184" s="45" t="str">
        <x:v>https://www.thk.com/jp/wordpress/wp-content/uploads/2026/08/260805_financial_result_en.pdf
https://www.google.com/finance/quote/6481:TYO</x:v>
      </x:c>
      <x:c r="L184" s="45" t="str">
        <x:v>Revenue and operating income are continuing operations; owners' profit includes discontinued business.
Business transfer cash payment 13898 and transfer gain 16436 must be separated from recurring performance.</x:v>
      </x:c>
      <x:c r="M184" s="45" t="str">
        <x:v>THK.free_cash_flow</x:v>
      </x:c>
    </x:row>
    <x:row r="185" ht="24" hidden="0" customHeight="1">
      <x:c r="A185" s="2"/>
      <x:c r="B185" s="2"/>
      <x:c r="C185" s="45" t="str">
        <x:v>THK</x:v>
      </x:c>
      <x:c r="D185" s="46" t="str">
        <x:v>6481</x:v>
      </x:c>
      <x:c r="E185" s="45" t="str">
        <x:v>JPY</x:v>
      </x:c>
      <x:c r="F185" s="45" t="str">
        <x:v>2026 H1, 6 months</x:v>
      </x:c>
      <x:c r="G185" s="45" t="str">
        <x:v>exchange</x:v>
      </x:c>
      <x:c r="H185" s="45" t="str">
        <x:v>Tokyo Stock Exchange Prime</x:v>
      </x:c>
      <x:c r="I185" s="45" t="str">
        <x:v>원문 범위</x:v>
      </x:c>
      <x:c r="J185" s="49" t="n">
        <x:v>46282</x:v>
      </x:c>
      <x:c r="K185" s="45" t="str">
        <x:v>https://www.thk.com/jp/wordpress/wp-content/uploads/2026/08/260805_financial_result_en.pdf
https://www.google.com/finance/quote/6481:TYO</x:v>
      </x:c>
      <x:c r="L185" s="45" t="str">
        <x:v>Revenue and operating income are continuing operations; owners' profit includes discontinued business.
Business transfer cash payment 13898 and transfer gain 16436 must be separated from recurring performance.</x:v>
      </x:c>
      <x:c r="M185" s="45" t="str">
        <x:v>THK.exchange</x:v>
      </x:c>
    </x:row>
    <x:row r="186" ht="24" hidden="0" customHeight="1">
      <x:c r="A186" s="2"/>
      <x:c r="B186" s="2"/>
      <x:c r="C186" s="45" t="str">
        <x:v>THK</x:v>
      </x:c>
      <x:c r="D186" s="46" t="str">
        <x:v>6481</x:v>
      </x:c>
      <x:c r="E186" s="45" t="str">
        <x:v>JPY</x:v>
      </x:c>
      <x:c r="F186" s="45" t="str">
        <x:v>2026 H1, 6 months</x:v>
      </x:c>
      <x:c r="G186" s="45" t="str">
        <x:v>listed_status</x:v>
      </x:c>
      <x:c r="H186" s="45" t="str">
        <x:v>listed_verified</x:v>
      </x:c>
      <x:c r="I186" s="45" t="str">
        <x:v>원문 범위</x:v>
      </x:c>
      <x:c r="J186" s="49" t="n">
        <x:v>46282</x:v>
      </x:c>
      <x:c r="K186" s="45" t="str">
        <x:v>https://www.thk.com/jp/wordpress/wp-content/uploads/2026/08/260805_financial_result_en.pdf
https://www.google.com/finance/quote/6481:TYO</x:v>
      </x:c>
      <x:c r="L186" s="45" t="str">
        <x:v>Revenue and operating income are continuing operations; owners' profit includes discontinued business.
Business transfer cash payment 13898 and transfer gain 16436 must be separated from recurring performance.</x:v>
      </x:c>
      <x:c r="M186" s="45" t="str">
        <x:v>THK.listed_status</x:v>
      </x:c>
    </x:row>
    <x:row r="187" ht="24" hidden="0" customHeight="1">
      <x:c r="A187" s="2"/>
      <x:c r="B187" s="2"/>
      <x:c r="C187" s="45" t="str">
        <x:v>THK</x:v>
      </x:c>
      <x:c r="D187" s="46" t="str">
        <x:v>6481</x:v>
      </x:c>
      <x:c r="E187" s="45" t="str">
        <x:v>JPY</x:v>
      </x:c>
      <x:c r="F187" s="45" t="str">
        <x:v>2026 H1, 6 months</x:v>
      </x:c>
      <x:c r="G187" s="45" t="str">
        <x:v>as_of</x:v>
      </x:c>
      <x:c r="H187" s="45" t="str">
        <x:v>2026-09-17</x:v>
      </x:c>
      <x:c r="I187" s="45" t="str">
        <x:v>원문 범위</x:v>
      </x:c>
      <x:c r="J187" s="49" t="n">
        <x:v>46282</x:v>
      </x:c>
      <x:c r="K187" s="45" t="str">
        <x:v>https://www.thk.com/jp/wordpress/wp-content/uploads/2026/08/260805_financial_result_en.pdf
https://www.google.com/finance/quote/6481:TYO</x:v>
      </x:c>
      <x:c r="L187" s="45" t="str">
        <x:v>Revenue and operating income are continuing operations; owners' profit includes discontinued business.
Business transfer cash payment 13898 and transfer gain 16436 must be separated from recurring performance.</x:v>
      </x:c>
      <x:c r="M187" s="45" t="str">
        <x:v>THK.as_of</x:v>
      </x:c>
    </x:row>
    <x:row r="188" ht="24" hidden="0" customHeight="1">
      <x:c r="A188" s="2"/>
      <x:c r="B188" s="2"/>
      <x:c r="C188" s="45" t="str">
        <x:v>THK</x:v>
      </x:c>
      <x:c r="D188" s="46" t="str">
        <x:v>6481</x:v>
      </x:c>
      <x:c r="E188" s="45" t="str">
        <x:v>JPY</x:v>
      </x:c>
      <x:c r="F188" s="45" t="str">
        <x:v>2026 H1, 6 months</x:v>
      </x:c>
      <x:c r="G188" s="45" t="str">
        <x:v>주가 관측 시점</x:v>
      </x:c>
      <x:c r="H188" s="45" t="str">
        <x:v>2026-09-17 11:23 JST intraday</x:v>
      </x:c>
      <x:c r="I188" s="45" t="str">
        <x:v>원문 범위</x:v>
      </x:c>
      <x:c r="J188" s="49" t="n">
        <x:v>46282</x:v>
      </x:c>
      <x:c r="K188" s="45" t="str">
        <x:v>https://www.thk.com/jp/wordpress/wp-content/uploads/2026/08/260805_financial_result_en.pdf
https://www.google.com/finance/quote/6481:TYO</x:v>
      </x:c>
      <x:c r="L188" s="45" t="str">
        <x:v>Revenue and operating income are continuing operations; owners' profit includes discontinued business.
Business transfer cash payment 13898 and transfer gain 16436 must be separated from recurring performance.</x:v>
      </x:c>
      <x:c r="M188" s="45" t="str">
        <x:v>THK.price_date</x:v>
      </x:c>
    </x:row>
    <x:row r="189" ht="24" hidden="0" customHeight="1">
      <x:c r="A189" s="2"/>
      <x:c r="B189" s="2"/>
      <x:c r="C189" s="45" t="str">
        <x:v>THK</x:v>
      </x:c>
      <x:c r="D189" s="46" t="str">
        <x:v>6481</x:v>
      </x:c>
      <x:c r="E189" s="45" t="str">
        <x:v>JPY</x:v>
      </x:c>
      <x:c r="F189" s="45" t="str">
        <x:v>2026 H1, 6 months</x:v>
      </x:c>
      <x:c r="G189" s="45" t="str">
        <x:v>price_currency</x:v>
      </x:c>
      <x:c r="H189" s="45" t="str">
        <x:v>JPY</x:v>
      </x:c>
      <x:c r="I189" s="45" t="str">
        <x:v>원문 범위</x:v>
      </x:c>
      <x:c r="J189" s="49" t="n">
        <x:v>46282</x:v>
      </x:c>
      <x:c r="K189" s="45" t="str">
        <x:v>https://www.thk.com/jp/wordpress/wp-content/uploads/2026/08/260805_financial_result_en.pdf
https://www.google.com/finance/quote/6481:TYO</x:v>
      </x:c>
      <x:c r="L189" s="45" t="str">
        <x:v>Revenue and operating income are continuing operations; owners' profit includes discontinued business.
Business transfer cash payment 13898 and transfer gain 16436 must be separated from recurring performance.</x:v>
      </x:c>
      <x:c r="M189" s="45" t="str">
        <x:v>THK.price_currency</x:v>
      </x:c>
    </x:row>
    <x:row r="190" ht="24" hidden="0" customHeight="1">
      <x:c r="A190" s="2"/>
      <x:c r="B190" s="2"/>
      <x:c r="C190" s="45" t="str">
        <x:v>THK</x:v>
      </x:c>
      <x:c r="D190" s="46" t="str">
        <x:v>6481</x:v>
      </x:c>
      <x:c r="E190" s="45" t="str">
        <x:v>JPY</x:v>
      </x:c>
      <x:c r="F190" s="45" t="str">
        <x:v>2026-09-17 11:23 JST intraday</x:v>
      </x:c>
      <x:c r="G190" s="45" t="str">
        <x:v>market_cap_currency</x:v>
      </x:c>
      <x:c r="H190" s="45" t="str">
        <x:v>JPY</x:v>
      </x:c>
      <x:c r="I190" s="45" t="str">
        <x:v>원문 범위</x:v>
      </x:c>
      <x:c r="J190" s="49" t="n">
        <x:v>46282</x:v>
      </x:c>
      <x:c r="K190" s="45" t="str">
        <x:v>https://www.thk.com/jp/wordpress/wp-content/uploads/2026/08/260805_financial_result_en.pdf
https://www.google.com/finance/quote/6481:TYO</x:v>
      </x:c>
      <x:c r="L190" s="45" t="str">
        <x:v>Revenue and operating income are continuing operations; owners' profit includes discontinued business.
Business transfer cash payment 13898 and transfer gain 16436 must be separated from recurring performance.</x:v>
      </x:c>
      <x:c r="M190" s="45" t="str">
        <x:v>THK.market_cap_currency</x:v>
      </x:c>
    </x:row>
    <x:row r="191" ht="24" hidden="0" customHeight="1">
      <x:c r="A191" s="2"/>
      <x:c r="B191" s="2"/>
      <x:c r="C191" s="45" t="str">
        <x:v>THK</x:v>
      </x:c>
      <x:c r="D191" s="46" t="str">
        <x:v>6481</x:v>
      </x:c>
      <x:c r="E191" s="45" t="str">
        <x:v>JPY</x:v>
      </x:c>
      <x:c r="F191" s="45" t="str">
        <x:v>2026-09-17 11:23 JST intraday</x:v>
      </x:c>
      <x:c r="G191" s="45" t="str">
        <x:v>market_cap_unit</x:v>
      </x:c>
      <x:c r="H191" s="45" t="str">
        <x:v>million</x:v>
      </x:c>
      <x:c r="I191" s="45" t="str">
        <x:v>원문 범위</x:v>
      </x:c>
      <x:c r="J191" s="49" t="n">
        <x:v>46282</x:v>
      </x:c>
      <x:c r="K191" s="45" t="str">
        <x:v>https://www.thk.com/jp/wordpress/wp-content/uploads/2026/08/260805_financial_result_en.pdf
https://www.google.com/finance/quote/6481:TYO</x:v>
      </x:c>
      <x:c r="L191" s="45" t="str">
        <x:v>Revenue and operating income are continuing operations; owners' profit includes discontinued business.
Business transfer cash payment 13898 and transfer gain 16436 must be separated from recurring performance.</x:v>
      </x:c>
      <x:c r="M191" s="45" t="str">
        <x:v>THK.market_cap_unit</x:v>
      </x:c>
    </x:row>
    <x:row r="192" ht="24" hidden="0" customHeight="1">
      <x:c r="A192" s="2"/>
      <x:c r="B192" s="2"/>
      <x:c r="C192" s="45" t="str">
        <x:v>THK</x:v>
      </x:c>
      <x:c r="D192" s="46" t="str">
        <x:v>6481</x:v>
      </x:c>
      <x:c r="E192" s="45" t="str">
        <x:v>JPY</x:v>
      </x:c>
      <x:c r="F192" s="45" t="str">
        <x:v>2026 H1, 6 months</x:v>
      </x:c>
      <x:c r="G192" s="45" t="str">
        <x:v>실적 기간</x:v>
      </x:c>
      <x:c r="H192" s="45" t="str">
        <x:v>2026 H1, 6 months</x:v>
      </x:c>
      <x:c r="I192" s="45" t="str">
        <x:v>원문 범위</x:v>
      </x:c>
      <x:c r="J192" s="49" t="n">
        <x:v>46282</x:v>
      </x:c>
      <x:c r="K192" s="45" t="str">
        <x:v>https://www.thk.com/jp/wordpress/wp-content/uploads/2026/08/260805_financial_result_en.pdf
https://www.google.com/finance/quote/6481:TYO</x:v>
      </x:c>
      <x:c r="L192" s="45" t="str">
        <x:v>Revenue and operating income are continuing operations; owners' profit includes discontinued business.
Business transfer cash payment 13898 and transfer gain 16436 must be separated from recurring performance.</x:v>
      </x:c>
      <x:c r="M192" s="45" t="str">
        <x:v>THK.financial_period</x:v>
      </x:c>
    </x:row>
    <x:row r="193" ht="24" hidden="0" customHeight="1">
      <x:c r="A193" s="2"/>
      <x:c r="B193" s="2"/>
      <x:c r="C193" s="45" t="str">
        <x:v>THK</x:v>
      </x:c>
      <x:c r="D193" s="46" t="str">
        <x:v>6481</x:v>
      </x:c>
      <x:c r="E193" s="45" t="str">
        <x:v>JPY</x:v>
      </x:c>
      <x:c r="F193" s="45" t="str">
        <x:v>2026 H1, 6 months</x:v>
      </x:c>
      <x:c r="G193" s="45" t="str">
        <x:v>재무상태표 날짜</x:v>
      </x:c>
      <x:c r="H193" s="45" t="str">
        <x:v>2026-06-30</x:v>
      </x:c>
      <x:c r="I193" s="45" t="str">
        <x:v>원문 범위</x:v>
      </x:c>
      <x:c r="J193" s="49" t="n">
        <x:v>46282</x:v>
      </x:c>
      <x:c r="K193" s="45" t="str">
        <x:v>https://www.thk.com/jp/wordpress/wp-content/uploads/2026/08/260805_financial_result_en.pdf
https://www.google.com/finance/quote/6481:TYO</x:v>
      </x:c>
      <x:c r="L193" s="45" t="str">
        <x:v>Revenue and operating income are continuing operations; owners' profit includes discontinued business.
Business transfer cash payment 13898 and transfer gain 16436 must be separated from recurring performance.</x:v>
      </x:c>
      <x:c r="M193" s="45" t="str">
        <x:v>THK.balance_sheet_date</x:v>
      </x:c>
    </x:row>
    <x:row r="194" ht="24" hidden="0" customHeight="1">
      <x:c r="A194" s="2"/>
      <x:c r="B194" s="2"/>
      <x:c r="C194" s="45" t="str">
        <x:v>THK</x:v>
      </x:c>
      <x:c r="D194" s="46" t="str">
        <x:v>6481</x:v>
      </x:c>
      <x:c r="E194" s="45" t="str">
        <x:v>JPY</x:v>
      </x:c>
      <x:c r="F194" s="45" t="str">
        <x:v>2026 H1, 6 months</x:v>
      </x:c>
      <x:c r="G194" s="45" t="str">
        <x:v>monetary_unit</x:v>
      </x:c>
      <x:c r="H194" s="45" t="str">
        <x:v>million</x:v>
      </x:c>
      <x:c r="I194" s="45" t="str">
        <x:v>원문 범위</x:v>
      </x:c>
      <x:c r="J194" s="49" t="n">
        <x:v>46282</x:v>
      </x:c>
      <x:c r="K194" s="45" t="str">
        <x:v>https://www.thk.com/jp/wordpress/wp-content/uploads/2026/08/260805_financial_result_en.pdf
https://www.google.com/finance/quote/6481:TYO</x:v>
      </x:c>
      <x:c r="L194" s="45" t="str">
        <x:v>Revenue and operating income are continuing operations; owners' profit includes discontinued business.
Business transfer cash payment 13898 and transfer gain 16436 must be separated from recurring performance.</x:v>
      </x:c>
      <x:c r="M194" s="45" t="str">
        <x:v>THK.monetary_unit</x:v>
      </x:c>
    </x:row>
    <x:row r="195" ht="24" hidden="0" customHeight="1">
      <x:c r="A195" s="2"/>
      <x:c r="B195" s="2"/>
      <x:c r="C195" s="45" t="str">
        <x:v>THK</x:v>
      </x:c>
      <x:c r="D195" s="46" t="str">
        <x:v>6481</x:v>
      </x:c>
      <x:c r="E195" s="45" t="str">
        <x:v>JPY</x:v>
      </x:c>
      <x:c r="F195" s="45" t="str">
        <x:v>2026 H1, 6 months</x:v>
      </x:c>
      <x:c r="G195" s="45" t="str">
        <x:v>영업이익률</x:v>
      </x:c>
      <x:c r="H195" s="51" t="n">
        <x:v>14.88280034686596</x:v>
      </x:c>
      <x:c r="I195" s="45" t="str">
        <x:v>%</x:v>
      </x:c>
      <x:c r="J195" s="49" t="n">
        <x:v>46282</x:v>
      </x:c>
      <x:c r="K195" s="45" t="str">
        <x:v>https://www.thk.com/jp/wordpress/wp-content/uploads/2026/08/260805_financial_result_en.pdf
https://www.google.com/finance/quote/6481:TYO</x:v>
      </x:c>
      <x:c r="L195" s="45" t="str">
        <x:v>Revenue and operating income are continuing operations; owners' profit includes discontinued business.
Business transfer cash payment 13898 and transfer gain 16436 must be separated from recurring performance.</x:v>
      </x:c>
      <x:c r="M195" s="45" t="str">
        <x:v>THK.operating_margin_percent</x:v>
      </x:c>
    </x:row>
    <x:row r="196" ht="24" hidden="0" customHeight="1">
      <x:c r="A196" s="2"/>
      <x:c r="B196" s="2"/>
      <x:c r="C196" s="45" t="str">
        <x:v>THK</x:v>
      </x:c>
      <x:c r="D196" s="46" t="str">
        <x:v>6481</x:v>
      </x:c>
      <x:c r="E196" s="45" t="str">
        <x:v>JPY</x:v>
      </x:c>
      <x:c r="F196" s="45" t="str">
        <x:v>2026 H1, 6 months</x:v>
      </x:c>
      <x:c r="G196" s="45" t="str">
        <x:v>휴머노이드 매출 공개 범위</x:v>
      </x:c>
      <x:c r="H196" s="45" t="str">
        <x:v>not_separately_disclosed</x:v>
      </x:c>
      <x:c r="I196" s="45" t="str">
        <x:v>원문 범위</x:v>
      </x:c>
      <x:c r="J196" s="49" t="n">
        <x:v>46282</x:v>
      </x:c>
      <x:c r="K196" s="45" t="str">
        <x:v>https://www.thk.com/jp/wordpress/wp-content/uploads/2026/08/260805_financial_result_en.pdf
https://www.google.com/finance/quote/6481:TYO</x:v>
      </x:c>
      <x:c r="L196" s="45" t="str">
        <x:v>Revenue and operating income are continuing operations; owners' profit includes discontinued business.
Business transfer cash payment 13898 and transfer gain 16436 must be separated from recurring performance.</x:v>
      </x:c>
      <x:c r="M196" s="45" t="str">
        <x:v>THK.humanoid_revenue_disclosed</x:v>
      </x:c>
    </x:row>
    <x:row r="197" ht="24" hidden="0" customHeight="1">
      <x:c r="A197" s="2"/>
      <x:c r="B197" s="2"/>
      <x:c r="C197" s="45" t="str">
        <x:v>THK</x:v>
      </x:c>
      <x:c r="D197" s="46" t="str">
        <x:v>6481</x:v>
      </x:c>
      <x:c r="E197" s="45" t="str">
        <x:v>JPY</x:v>
      </x:c>
      <x:c r="F197" s="45" t="str">
        <x:v>2026 H1, 6 months</x:v>
      </x:c>
      <x:c r="G197" s="45" t="str">
        <x:v>해석 조건·한계</x:v>
      </x:c>
      <x:c r="H197" s="45" t="str">
        <x:v>Revenue and operating income are continuing operations; owners' profit includes discontinued business.
Business transfer cash payment 13898 and transfer gain 16436 must be separated from recurring performance.</x:v>
      </x:c>
      <x:c r="I197" s="45" t="str">
        <x:v>원문 범위</x:v>
      </x:c>
      <x:c r="J197" s="49" t="n">
        <x:v>46282</x:v>
      </x:c>
      <x:c r="K197" s="45" t="str">
        <x:v>https://www.thk.com/jp/wordpress/wp-content/uploads/2026/08/260805_financial_result_en.pdf
https://www.google.com/finance/quote/6481:TYO</x:v>
      </x:c>
      <x:c r="L197" s="45" t="str">
        <x:v>Revenue and operating income are continuing operations; owners' profit includes discontinued business.
Business transfer cash payment 13898 and transfer gain 16436 must be separated from recurring performance.</x:v>
      </x:c>
      <x:c r="M197" s="45" t="str">
        <x:v>THK.notes</x:v>
      </x:c>
    </x:row>
    <x:row r="198" ht="24" hidden="0" customHeight="1">
      <x:c r="A198" s="2"/>
      <x:c r="B198" s="2"/>
      <x:c r="C198" s="45" t="str">
        <x:v>THK</x:v>
      </x:c>
      <x:c r="D198" s="46" t="str">
        <x:v>6481</x:v>
      </x:c>
      <x:c r="E198" s="45" t="str">
        <x:v>JPY</x:v>
      </x:c>
      <x:c r="F198" s="45" t="str">
        <x:v>2026 H1, 6 months</x:v>
      </x:c>
      <x:c r="G198" s="45" t="str">
        <x:v>현금 범위</x:v>
      </x:c>
      <x:c r="H198" s="45" t="str">
        <x:v>cash and cash equivalents</x:v>
      </x:c>
      <x:c r="I198" s="45" t="str">
        <x:v>원문 범위</x:v>
      </x:c>
      <x:c r="J198" s="49" t="n">
        <x:v>46282</x:v>
      </x:c>
      <x:c r="K198" s="45" t="str">
        <x:v>https://www.thk.com/jp/wordpress/wp-content/uploads/2026/08/260805_financial_result_en.pdf
https://www.google.com/finance/quote/6481:TYO</x:v>
      </x:c>
      <x:c r="L198" s="45" t="str">
        <x:v>Revenue and operating income are continuing operations; owners' profit includes discontinued business.
Business transfer cash payment 13898 and transfer gain 16436 must be separated from recurring performance.</x:v>
      </x:c>
      <x:c r="M198" s="45" t="str">
        <x:v>THK.cash_scope</x:v>
      </x:c>
    </x:row>
    <x:row r="199" ht="24" hidden="0" customHeight="1">
      <x:c r="A199" s="2"/>
      <x:c r="B199" s="2"/>
      <x:c r="C199" s="45" t="str">
        <x:v>THK</x:v>
      </x:c>
      <x:c r="D199" s="46" t="str">
        <x:v>6481</x:v>
      </x:c>
      <x:c r="E199" s="45" t="str">
        <x:v>JPY</x:v>
      </x:c>
      <x:c r="F199" s="45" t="str">
        <x:v>2026 H1, 6 months</x:v>
      </x:c>
      <x:c r="G199" s="45" t="str">
        <x:v>차입금 범위</x:v>
      </x:c>
      <x:c r="H199" s="45" t="str">
        <x:v>current bonds/borrowings 60006 plus noncurrent 79807</x:v>
      </x:c>
      <x:c r="I199" s="45" t="str">
        <x:v>원문 범위</x:v>
      </x:c>
      <x:c r="J199" s="49" t="n">
        <x:v>46282</x:v>
      </x:c>
      <x:c r="K199" s="45" t="str">
        <x:v>https://www.thk.com/jp/wordpress/wp-content/uploads/2026/08/260805_financial_result_en.pdf
https://www.google.com/finance/quote/6481:TYO</x:v>
      </x:c>
      <x:c r="L199" s="45" t="str">
        <x:v>Revenue and operating income are continuing operations; owners' profit includes discontinued business.
Business transfer cash payment 13898 and transfer gain 16436 must be separated from recurring performance.</x:v>
      </x:c>
      <x:c r="M199" s="45" t="str">
        <x:v>THK.debt_scope</x:v>
      </x:c>
    </x:row>
    <x:row r="200" ht="24" hidden="0" customHeight="1">
      <x:c r="A200" s="2"/>
      <x:c r="B200" s="2"/>
      <x:c r="C200" s="45" t="str">
        <x:v>THK</x:v>
      </x:c>
      <x:c r="D200" s="46" t="str">
        <x:v>6481</x:v>
      </x:c>
      <x:c r="E200" s="45" t="str">
        <x:v>JPY</x:v>
      </x:c>
      <x:c r="F200" s="45" t="str">
        <x:v>2026 H1, 6 months</x:v>
      </x:c>
      <x:c r="G200" s="45" t="str">
        <x:v>지배주주 순이익</x:v>
      </x:c>
      <x:c r="H200" s="51" t="n">
        <x:v>33744</x:v>
      </x:c>
      <x:c r="I200" s="45" t="str">
        <x:v>백만</x:v>
      </x:c>
      <x:c r="J200" s="49" t="n">
        <x:v>46282</x:v>
      </x:c>
      <x:c r="K200" s="45" t="str">
        <x:v>https://www.thk.com/jp/wordpress/wp-content/uploads/2026/08/260805_financial_result_en.pdf
https://www.google.com/finance/quote/6481:TYO</x:v>
      </x:c>
      <x:c r="L200" s="45" t="str">
        <x:v>Revenue and operating income are continuing operations; owners' profit includes discontinued business.
Business transfer cash payment 13898 and transfer gain 16436 must be separated from recurring performance.</x:v>
      </x:c>
      <x:c r="M200" s="45" t="str">
        <x:v>THK.net_income_owners</x:v>
      </x:c>
    </x:row>
    <x:row r="201" ht="24" hidden="0" customHeight="1">
      <x:c r="A201" s="2"/>
      <x:c r="B201" s="2"/>
      <x:c r="C201" s="45" t="str">
        <x:v>THK</x:v>
      </x:c>
      <x:c r="D201" s="46" t="str">
        <x:v>6481</x:v>
      </x:c>
      <x:c r="E201" s="45" t="str">
        <x:v>JPY</x:v>
      </x:c>
      <x:c r="F201" s="45" t="str">
        <x:v>2026 H1, 6 months</x:v>
      </x:c>
      <x:c r="G201" s="45" t="str">
        <x:v>현금흐름 기간</x:v>
      </x:c>
      <x:c r="H201" s="45" t="str">
        <x:v>2026 H1</x:v>
      </x:c>
      <x:c r="I201" s="45" t="str">
        <x:v>원문 범위</x:v>
      </x:c>
      <x:c r="J201" s="49" t="n">
        <x:v>46282</x:v>
      </x:c>
      <x:c r="K201" s="45" t="str">
        <x:v>https://www.thk.com/jp/wordpress/wp-content/uploads/2026/08/260805_financial_result_en.pdf
https://www.google.com/finance/quote/6481:TYO</x:v>
      </x:c>
      <x:c r="L201" s="45" t="str">
        <x:v>Revenue and operating income are continuing operations; owners' profit includes discontinued business.
Business transfer cash payment 13898 and transfer gain 16436 must be separated from recurring performance.</x:v>
      </x:c>
      <x:c r="M201" s="45" t="str">
        <x:v>THK.cash_flow_period</x:v>
      </x:c>
    </x:row>
    <x:row r="202" ht="24" hidden="0" customHeight="1">
      <x:c r="A202" s="2"/>
      <x:c r="B202" s="2"/>
      <x:c r="C202" s="45" t="str">
        <x:v>THK</x:v>
      </x:c>
      <x:c r="D202" s="46" t="str">
        <x:v>6481</x:v>
      </x:c>
      <x:c r="E202" s="45" t="str">
        <x:v>JPY</x:v>
      </x:c>
      <x:c r="F202" s="45" t="str">
        <x:v>2026 H1, 6 months</x:v>
      </x:c>
      <x:c r="G202" s="45" t="str">
        <x:v>잉여현금흐름 정의</x:v>
      </x:c>
      <x:c r="H202" s="45" t="str">
        <x:v>simple CFO minus PP&amp;E purchases; excludes business transfer, other investments, financing and dividends</x:v>
      </x:c>
      <x:c r="I202" s="45" t="str">
        <x:v>원문 범위</x:v>
      </x:c>
      <x:c r="J202" s="49" t="n">
        <x:v>46282</x:v>
      </x:c>
      <x:c r="K202" s="45" t="str">
        <x:v>https://www.thk.com/jp/wordpress/wp-content/uploads/2026/08/260805_financial_result_en.pdf
https://www.google.com/finance/quote/6481:TYO</x:v>
      </x:c>
      <x:c r="L202" s="45" t="str">
        <x:v>Revenue and operating income are continuing operations; owners' profit includes discontinued business.
Business transfer cash payment 13898 and transfer gain 16436 must be separated from recurring performance.</x:v>
      </x:c>
      <x:c r="M202" s="45" t="str">
        <x:v>THK.free_cash_flow_definition</x:v>
      </x:c>
    </x:row>
    <x:row r="203" ht="24" hidden="0" customHeight="1">
      <x:c r="A203" s="2"/>
      <x:c r="B203" s="2"/>
      <x:c r="C203" s="45" t="str">
        <x:v>THK</x:v>
      </x:c>
      <x:c r="D203" s="46" t="str">
        <x:v>6481</x:v>
      </x:c>
      <x:c r="E203" s="45" t="str">
        <x:v>JPY</x:v>
      </x:c>
      <x:c r="F203" s="45" t="str">
        <x:v>2026-09-17 11:23 JST intraday</x:v>
      </x:c>
      <x:c r="G203" s="45" t="str">
        <x:v>provider_reported_market_cap_million</x:v>
      </x:c>
      <x:c r="H203" s="51" t="n">
        <x:v>715670</x:v>
      </x:c>
      <x:c r="I203" s="45" t="str">
        <x:v>백만</x:v>
      </x:c>
      <x:c r="J203" s="49" t="n">
        <x:v>46282</x:v>
      </x:c>
      <x:c r="K203" s="45" t="str">
        <x:v>https://www.thk.com/jp/wordpress/wp-content/uploads/2026/08/260805_financial_result_en.pdf
https://www.google.com/finance/quote/6481:TYO</x:v>
      </x:c>
      <x:c r="L203" s="45" t="str">
        <x:v>Revenue and operating income are continuing operations; owners' profit includes discontinued business.
Business transfer cash payment 13898 and transfer gain 16436 must be separated from recurring performance.</x:v>
      </x:c>
      <x:c r="M203" s="45" t="str">
        <x:v>THK.provider_reported_market_cap_million</x:v>
      </x:c>
    </x:row>
    <x:row r="204" ht="24" hidden="0" customHeight="1">
      <x:c r="A204" s="2"/>
      <x:c r="B204" s="2"/>
      <x:c r="C204" s="45" t="str">
        <x:v>THK</x:v>
      </x:c>
      <x:c r="D204" s="46" t="str">
        <x:v>6481</x:v>
      </x:c>
      <x:c r="E204" s="45" t="str">
        <x:v>JPY</x:v>
      </x:c>
      <x:c r="F204" s="45" t="str">
        <x:v>2026-09-17 11:23 JST intraday</x:v>
      </x:c>
      <x:c r="G204" s="45" t="str">
        <x:v>시가총액 확인 범위</x:v>
      </x:c>
      <x:c r="H204" s="45" t="str">
        <x:v>reported number retained only as reference; inconsistent with provider share count</x:v>
      </x:c>
      <x:c r="I204" s="45" t="str">
        <x:v>원문 범위</x:v>
      </x:c>
      <x:c r="J204" s="49" t="n">
        <x:v>46282</x:v>
      </x:c>
      <x:c r="K204" s="45" t="str">
        <x:v>https://www.thk.com/jp/wordpress/wp-content/uploads/2026/08/260805_financial_result_en.pdf
https://www.google.com/finance/quote/6481:TYO</x:v>
      </x:c>
      <x:c r="L204" s="45" t="str">
        <x:v>Revenue and operating income are continuing operations; owners' profit includes discontinued business.
Business transfer cash payment 13898 and transfer gain 16436 must be separated from recurring performance.</x:v>
      </x:c>
      <x:c r="M204" s="45" t="str">
        <x:v>THK.market_cap_status</x:v>
      </x:c>
    </x:row>
    <x:row r="205" ht="36" hidden="0" customHeight="1">
      <x:c r="A205" s="2"/>
      <x:c r="B205" s="2"/>
      <x:c r="C205" s="45" t="str">
        <x:v>THK</x:v>
      </x:c>
      <x:c r="D205" s="46" t="str">
        <x:v>6481</x:v>
      </x:c>
      <x:c r="E205" s="45" t="str">
        <x:v>JPY</x:v>
      </x:c>
      <x:c r="F205" s="45" t="str">
        <x:v>2026 H1, 6 months</x:v>
      </x:c>
      <x:c r="G205" s="45" t="str">
        <x:v>price_reverification_note</x:v>
      </x:c>
      <x:c r="H205" s="45" t="str">
        <x:v>Original 2026-09-17 11:23 JST snapshot retained. Independent recheck at 12:38:45 JST displayed 6010 and market cap 715790; later intraday values do not independently verify the earlier 6009/715670 snapshot. Provider share-count reconciliation remains incomplete.</x:v>
      </x:c>
      <x:c r="I205" s="45" t="str">
        <x:v>원문 범위</x:v>
      </x:c>
      <x:c r="J205" s="49" t="n">
        <x:v>46282</x:v>
      </x:c>
      <x:c r="K205" s="45" t="str">
        <x:v>https://www.thk.com/jp/wordpress/wp-content/uploads/2026/08/260805_financial_result_en.pdf
https://www.google.com/finance/quote/6481:TYO</x:v>
      </x:c>
      <x:c r="L205" s="45" t="str">
        <x:v>Revenue and operating income are continuing operations; owners' profit includes discontinued business.
Business transfer cash payment 13898 and transfer gain 16436 must be separated from recurring performance.</x:v>
      </x:c>
      <x:c r="M205" s="45" t="str">
        <x:v>THK.price_reverification_note</x:v>
      </x:c>
    </x:row>
    <x:row r="206" ht="96" hidden="0" customHeight="1">
      <x:c r="A206" s="2"/>
      <x:c r="B206" s="2"/>
      <x:c r="C206" s="45" t="str">
        <x:v>Hexagon</x:v>
      </x:c>
      <x:c r="D206" s="46" t="str">
        <x:v>HEXA B</x:v>
      </x:c>
      <x:c r="E206" s="45" t="str">
        <x:v>SEK</x:v>
      </x:c>
      <x:c r="F206" s="45" t="str">
        <x:v>2026-09-16 17:29 GMT+2</x:v>
      </x:c>
      <x:c r="G206" s="45" t="str">
        <x:v>주가</x:v>
      </x:c>
      <x:c r="H206" s="51" t="n">
        <x:v>93.68</x:v>
      </x:c>
      <x:c r="I206" s="45" t="str">
        <x:v>통화/주</x:v>
      </x:c>
      <x:c r="J206" s="49" t="n">
        <x:v>46282</x:v>
      </x:c>
      <x:c r="K206"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06"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06" s="45" t="str">
        <x:v>Hexagon.price</x:v>
      </x:c>
    </x:row>
    <x:row r="207" ht="96" hidden="0" customHeight="1">
      <x:c r="A207" s="2"/>
      <x:c r="B207" s="2"/>
      <x:c r="C207" s="45" t="str">
        <x:v>Hexagon</x:v>
      </x:c>
      <x:c r="D207" s="46" t="str">
        <x:v>HEXA B</x:v>
      </x:c>
      <x:c r="E207" s="45" t="str">
        <x:v>SEK</x:v>
      </x:c>
      <x:c r="F207" s="45" t="str">
        <x:v>2026-09-16 17:29 GMT+2</x:v>
      </x:c>
      <x:c r="G207" s="45" t="str">
        <x:v>시가총액</x:v>
      </x:c>
      <x:c r="H207" s="51" t="n">
        <x:v>243660</x:v>
      </x:c>
      <x:c r="I207" s="45" t="str">
        <x:v>백만</x:v>
      </x:c>
      <x:c r="J207" s="49" t="n">
        <x:v>46282</x:v>
      </x:c>
      <x:c r="K207"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07"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07" s="45" t="str">
        <x:v>Hexagon.market_cap</x:v>
      </x:c>
    </x:row>
    <x:row r="208" ht="96" hidden="0" customHeight="1">
      <x:c r="A208" s="2"/>
      <x:c r="B208" s="2"/>
      <x:c r="C208" s="45" t="str">
        <x:v>Hexagon</x:v>
      </x:c>
      <x:c r="D208" s="46" t="str">
        <x:v>HEXA B</x:v>
      </x:c>
      <x:c r="E208" s="45" t="str">
        <x:v>EUR</x:v>
      </x:c>
      <x:c r="F208" s="45" t="str">
        <x:v>2026 Q2, 3 months</x:v>
      </x:c>
      <x:c r="G208" s="45" t="str">
        <x:v>매출</x:v>
      </x:c>
      <x:c r="H208" s="51" t="n">
        <x:v>1050.2</x:v>
      </x:c>
      <x:c r="I208" s="45" t="str">
        <x:v>백만</x:v>
      </x:c>
      <x:c r="J208" s="49" t="n">
        <x:v>46282</x:v>
      </x:c>
      <x:c r="K208"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08"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08" s="45" t="str">
        <x:v>Hexagon.revenue</x:v>
      </x:c>
    </x:row>
    <x:row r="209" ht="96" hidden="0" customHeight="1">
      <x:c r="A209" s="2"/>
      <x:c r="B209" s="2"/>
      <x:c r="C209" s="45" t="str">
        <x:v>Hexagon</x:v>
      </x:c>
      <x:c r="D209" s="46" t="str">
        <x:v>HEXA B</x:v>
      </x:c>
      <x:c r="E209" s="45" t="str">
        <x:v>EUR</x:v>
      </x:c>
      <x:c r="F209" s="45" t="str">
        <x:v>2026 Q2, 3 months</x:v>
      </x:c>
      <x:c r="G209" s="45" t="str">
        <x:v>영업이익</x:v>
      </x:c>
      <x:c r="H209" s="51" t="n">
        <x:v>251.4</x:v>
      </x:c>
      <x:c r="I209" s="45" t="str">
        <x:v>백만</x:v>
      </x:c>
      <x:c r="J209" s="49" t="n">
        <x:v>46282</x:v>
      </x:c>
      <x:c r="K209"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09"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09" s="45" t="str">
        <x:v>Hexagon.operating_profit</x:v>
      </x:c>
    </x:row>
    <x:row r="210" ht="96" hidden="0" customHeight="1">
      <x:c r="A210" s="2"/>
      <x:c r="B210" s="2"/>
      <x:c r="C210" s="45" t="str">
        <x:v>Hexagon</x:v>
      </x:c>
      <x:c r="D210" s="46" t="str">
        <x:v>HEXA B</x:v>
      </x:c>
      <x:c r="E210" s="45" t="str">
        <x:v>EUR</x:v>
      </x:c>
      <x:c r="F210" s="45" t="str">
        <x:v>2026-06-30</x:v>
      </x:c>
      <x:c r="G210" s="45" t="str">
        <x:v>현금</x:v>
      </x:c>
      <x:c r="H210" s="51" t="n">
        <x:v>2161.5</x:v>
      </x:c>
      <x:c r="I210" s="45" t="str">
        <x:v>백만</x:v>
      </x:c>
      <x:c r="J210" s="49" t="n">
        <x:v>46282</x:v>
      </x:c>
      <x:c r="K210"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0"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0" s="45" t="str">
        <x:v>Hexagon.cash</x:v>
      </x:c>
    </x:row>
    <x:row r="211" ht="96" hidden="0" customHeight="1">
      <x:c r="A211" s="2"/>
      <x:c r="B211" s="2"/>
      <x:c r="C211" s="45" t="str">
        <x:v>Hexagon</x:v>
      </x:c>
      <x:c r="D211" s="46" t="str">
        <x:v>HEXA B</x:v>
      </x:c>
      <x:c r="E211" s="45" t="str">
        <x:v>EUR</x:v>
      </x:c>
      <x:c r="F211" s="45" t="str">
        <x:v>2026-06-30</x:v>
      </x:c>
      <x:c r="G211" s="45" t="str">
        <x:v>차입금</x:v>
      </x:c>
      <x:c r="H211" s="51" t="n">
        <x:v>2500.5</x:v>
      </x:c>
      <x:c r="I211" s="45" t="str">
        <x:v>백만</x:v>
      </x:c>
      <x:c r="J211" s="49" t="n">
        <x:v>46282</x:v>
      </x:c>
      <x:c r="K211"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1"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1" s="45" t="str">
        <x:v>Hexagon.debt</x:v>
      </x:c>
    </x:row>
    <x:row r="212" ht="96" hidden="0" customHeight="1">
      <x:c r="A212" s="2"/>
      <x:c r="B212" s="2"/>
      <x:c r="C212" s="45" t="str">
        <x:v>Hexagon</x:v>
      </x:c>
      <x:c r="D212" s="46" t="str">
        <x:v>HEXA B</x:v>
      </x:c>
      <x:c r="E212" s="45" t="str">
        <x:v>EUR</x:v>
      </x:c>
      <x:c r="F212" s="45" t="str">
        <x:v>2026 Q2</x:v>
      </x:c>
      <x:c r="G212" s="45" t="str">
        <x:v>영업현금흐름</x:v>
      </x:c>
      <x:c r="H212" s="51" t="n">
        <x:v>400.7</x:v>
      </x:c>
      <x:c r="I212" s="45" t="str">
        <x:v>백만</x:v>
      </x:c>
      <x:c r="J212" s="49" t="n">
        <x:v>46282</x:v>
      </x:c>
      <x:c r="K212"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2"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2" s="45" t="str">
        <x:v>Hexagon.operating_cash_flow</x:v>
      </x:c>
    </x:row>
    <x:row r="213" ht="96" hidden="0" customHeight="1">
      <x:c r="A213" s="2"/>
      <x:c r="B213" s="2"/>
      <x:c r="C213" s="45" t="str">
        <x:v>Hexagon</x:v>
      </x:c>
      <x:c r="D213" s="46" t="str">
        <x:v>HEXA B</x:v>
      </x:c>
      <x:c r="E213" s="45" t="str">
        <x:v>EUR</x:v>
      </x:c>
      <x:c r="F213" s="45" t="str">
        <x:v>2026 Q2</x:v>
      </x:c>
      <x:c r="G213" s="45" t="str">
        <x:v>설비·무형자산 투자</x:v>
      </x:c>
      <x:c r="H213" s="51" t="n">
        <x:v>109.2</x:v>
      </x:c>
      <x:c r="I213" s="45" t="str">
        <x:v>백만</x:v>
      </x:c>
      <x:c r="J213" s="49" t="n">
        <x:v>46282</x:v>
      </x:c>
      <x:c r="K213"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3"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3" s="45" t="str">
        <x:v>Hexagon.capex</x:v>
      </x:c>
    </x:row>
    <x:row r="214" ht="96" hidden="0" customHeight="1">
      <x:c r="A214" s="2"/>
      <x:c r="B214" s="2"/>
      <x:c r="C214" s="45" t="str">
        <x:v>Hexagon</x:v>
      </x:c>
      <x:c r="D214" s="46" t="str">
        <x:v>HEXA B</x:v>
      </x:c>
      <x:c r="E214" s="45" t="str">
        <x:v>EUR</x:v>
      </x:c>
      <x:c r="F214" s="45" t="str">
        <x:v>2026 Q2</x:v>
      </x:c>
      <x:c r="G214" s="45" t="str">
        <x:v>잉여현금흐름</x:v>
      </x:c>
      <x:c r="H214" s="51" t="n">
        <x:v>251.6</x:v>
      </x:c>
      <x:c r="I214" s="45" t="str">
        <x:v>백만</x:v>
      </x:c>
      <x:c r="J214" s="49" t="n">
        <x:v>46282</x:v>
      </x:c>
      <x:c r="K214"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4"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4" s="45" t="str">
        <x:v>Hexagon.free_cash_flow</x:v>
      </x:c>
    </x:row>
    <x:row r="215" ht="96" hidden="0" customHeight="1">
      <x:c r="A215" s="2"/>
      <x:c r="B215" s="2"/>
      <x:c r="C215" s="45" t="str">
        <x:v>Hexagon</x:v>
      </x:c>
      <x:c r="D215" s="46" t="str">
        <x:v>HEXA B</x:v>
      </x:c>
      <x:c r="E215" s="45" t="str">
        <x:v>EUR</x:v>
      </x:c>
      <x:c r="F215" s="45" t="str">
        <x:v>2026 Q2, 3 months</x:v>
      </x:c>
      <x:c r="G215" s="45" t="str">
        <x:v>exchange</x:v>
      </x:c>
      <x:c r="H215" s="45" t="str">
        <x:v>Nasdaq Stockholm</x:v>
      </x:c>
      <x:c r="I215" s="45" t="str">
        <x:v>원문 범위</x:v>
      </x:c>
      <x:c r="J215" s="49" t="n">
        <x:v>46282</x:v>
      </x:c>
      <x:c r="K215"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5"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5" s="45" t="str">
        <x:v>Hexagon.exchange</x:v>
      </x:c>
    </x:row>
    <x:row r="216" ht="96" hidden="0" customHeight="1">
      <x:c r="A216" s="2"/>
      <x:c r="B216" s="2"/>
      <x:c r="C216" s="45" t="str">
        <x:v>Hexagon</x:v>
      </x:c>
      <x:c r="D216" s="46" t="str">
        <x:v>HEXA B</x:v>
      </x:c>
      <x:c r="E216" s="45" t="str">
        <x:v>EUR</x:v>
      </x:c>
      <x:c r="F216" s="45" t="str">
        <x:v>2026 Q2, 3 months</x:v>
      </x:c>
      <x:c r="G216" s="45" t="str">
        <x:v>listed_status</x:v>
      </x:c>
      <x:c r="H216" s="45" t="str">
        <x:v>listed_verified</x:v>
      </x:c>
      <x:c r="I216" s="45" t="str">
        <x:v>원문 범위</x:v>
      </x:c>
      <x:c r="J216" s="49" t="n">
        <x:v>46282</x:v>
      </x:c>
      <x:c r="K216"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6"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6" s="45" t="str">
        <x:v>Hexagon.listed_status</x:v>
      </x:c>
    </x:row>
    <x:row r="217" ht="96" hidden="0" customHeight="1">
      <x:c r="A217" s="2"/>
      <x:c r="B217" s="2"/>
      <x:c r="C217" s="45" t="str">
        <x:v>Hexagon</x:v>
      </x:c>
      <x:c r="D217" s="46" t="str">
        <x:v>HEXA B</x:v>
      </x:c>
      <x:c r="E217" s="45" t="str">
        <x:v>EUR</x:v>
      </x:c>
      <x:c r="F217" s="45" t="str">
        <x:v>2026 Q2, 3 months</x:v>
      </x:c>
      <x:c r="G217" s="45" t="str">
        <x:v>as_of</x:v>
      </x:c>
      <x:c r="H217" s="45" t="str">
        <x:v>2026-09-17</x:v>
      </x:c>
      <x:c r="I217" s="45" t="str">
        <x:v>원문 범위</x:v>
      </x:c>
      <x:c r="J217" s="49" t="n">
        <x:v>46282</x:v>
      </x:c>
      <x:c r="K217"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7"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7" s="45" t="str">
        <x:v>Hexagon.as_of</x:v>
      </x:c>
    </x:row>
    <x:row r="218" ht="96" hidden="0" customHeight="1">
      <x:c r="A218" s="2"/>
      <x:c r="B218" s="2"/>
      <x:c r="C218" s="45" t="str">
        <x:v>Hexagon</x:v>
      </x:c>
      <x:c r="D218" s="46" t="str">
        <x:v>HEXA B</x:v>
      </x:c>
      <x:c r="E218" s="45" t="str">
        <x:v>EUR</x:v>
      </x:c>
      <x:c r="F218" s="45" t="str">
        <x:v>2026 Q2, 3 months</x:v>
      </x:c>
      <x:c r="G218" s="45" t="str">
        <x:v>주가 관측 시점</x:v>
      </x:c>
      <x:c r="H218" s="45" t="str">
        <x:v>2026-09-16 17:29 GMT+2</x:v>
      </x:c>
      <x:c r="I218" s="45" t="str">
        <x:v>원문 범위</x:v>
      </x:c>
      <x:c r="J218" s="49" t="n">
        <x:v>46282</x:v>
      </x:c>
      <x:c r="K218"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8"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8" s="45" t="str">
        <x:v>Hexagon.price_date</x:v>
      </x:c>
    </x:row>
    <x:row r="219" ht="96" hidden="0" customHeight="1">
      <x:c r="A219" s="2"/>
      <x:c r="B219" s="2"/>
      <x:c r="C219" s="45" t="str">
        <x:v>Hexagon</x:v>
      </x:c>
      <x:c r="D219" s="46" t="str">
        <x:v>HEXA B</x:v>
      </x:c>
      <x:c r="E219" s="45" t="str">
        <x:v>EUR</x:v>
      </x:c>
      <x:c r="F219" s="45" t="str">
        <x:v>2026 Q2, 3 months</x:v>
      </x:c>
      <x:c r="G219" s="45" t="str">
        <x:v>price_currency</x:v>
      </x:c>
      <x:c r="H219" s="45" t="str">
        <x:v>SEK</x:v>
      </x:c>
      <x:c r="I219" s="45" t="str">
        <x:v>원문 범위</x:v>
      </x:c>
      <x:c r="J219" s="49" t="n">
        <x:v>46282</x:v>
      </x:c>
      <x:c r="K219"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19"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19" s="45" t="str">
        <x:v>Hexagon.price_currency</x:v>
      </x:c>
    </x:row>
    <x:row r="220" ht="96" hidden="0" customHeight="1">
      <x:c r="A220" s="2"/>
      <x:c r="B220" s="2"/>
      <x:c r="C220" s="45" t="str">
        <x:v>Hexagon</x:v>
      </x:c>
      <x:c r="D220" s="46" t="str">
        <x:v>HEXA B</x:v>
      </x:c>
      <x:c r="E220" s="45" t="str">
        <x:v>SEK</x:v>
      </x:c>
      <x:c r="F220" s="45" t="str">
        <x:v>2026-09-16 17:29 GMT+2</x:v>
      </x:c>
      <x:c r="G220" s="45" t="str">
        <x:v>market_cap_currency</x:v>
      </x:c>
      <x:c r="H220" s="45" t="str">
        <x:v>SEK</x:v>
      </x:c>
      <x:c r="I220" s="45" t="str">
        <x:v>원문 범위</x:v>
      </x:c>
      <x:c r="J220" s="49" t="n">
        <x:v>46282</x:v>
      </x:c>
      <x:c r="K220"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0"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0" s="45" t="str">
        <x:v>Hexagon.market_cap_currency</x:v>
      </x:c>
    </x:row>
    <x:row r="221" ht="96" hidden="0" customHeight="1">
      <x:c r="A221" s="2"/>
      <x:c r="B221" s="2"/>
      <x:c r="C221" s="45" t="str">
        <x:v>Hexagon</x:v>
      </x:c>
      <x:c r="D221" s="46" t="str">
        <x:v>HEXA B</x:v>
      </x:c>
      <x:c r="E221" s="45" t="str">
        <x:v>SEK</x:v>
      </x:c>
      <x:c r="F221" s="45" t="str">
        <x:v>2026-09-16 17:29 GMT+2</x:v>
      </x:c>
      <x:c r="G221" s="45" t="str">
        <x:v>market_cap_unit</x:v>
      </x:c>
      <x:c r="H221" s="45" t="str">
        <x:v>million</x:v>
      </x:c>
      <x:c r="I221" s="45" t="str">
        <x:v>원문 범위</x:v>
      </x:c>
      <x:c r="J221" s="49" t="n">
        <x:v>46282</x:v>
      </x:c>
      <x:c r="K221"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1"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1" s="45" t="str">
        <x:v>Hexagon.market_cap_unit</x:v>
      </x:c>
    </x:row>
    <x:row r="222" ht="96" hidden="0" customHeight="1">
      <x:c r="A222" s="2"/>
      <x:c r="B222" s="2"/>
      <x:c r="C222" s="45" t="str">
        <x:v>Hexagon</x:v>
      </x:c>
      <x:c r="D222" s="46" t="str">
        <x:v>HEXA B</x:v>
      </x:c>
      <x:c r="E222" s="45" t="str">
        <x:v>EUR</x:v>
      </x:c>
      <x:c r="F222" s="45" t="str">
        <x:v>2026 Q2, 3 months</x:v>
      </x:c>
      <x:c r="G222" s="45" t="str">
        <x:v>실적 기간</x:v>
      </x:c>
      <x:c r="H222" s="45" t="str">
        <x:v>2026 Q2, 3 months</x:v>
      </x:c>
      <x:c r="I222" s="45" t="str">
        <x:v>원문 범위</x:v>
      </x:c>
      <x:c r="J222" s="49" t="n">
        <x:v>46282</x:v>
      </x:c>
      <x:c r="K222"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2"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2" s="45" t="str">
        <x:v>Hexagon.financial_period</x:v>
      </x:c>
    </x:row>
    <x:row r="223" ht="96" hidden="0" customHeight="1">
      <x:c r="A223" s="2"/>
      <x:c r="B223" s="2"/>
      <x:c r="C223" s="45" t="str">
        <x:v>Hexagon</x:v>
      </x:c>
      <x:c r="D223" s="46" t="str">
        <x:v>HEXA B</x:v>
      </x:c>
      <x:c r="E223" s="45" t="str">
        <x:v>EUR</x:v>
      </x:c>
      <x:c r="F223" s="45" t="str">
        <x:v>2026 Q2, 3 months</x:v>
      </x:c>
      <x:c r="G223" s="45" t="str">
        <x:v>재무상태표 날짜</x:v>
      </x:c>
      <x:c r="H223" s="45" t="str">
        <x:v>2026-06-30</x:v>
      </x:c>
      <x:c r="I223" s="45" t="str">
        <x:v>원문 범위</x:v>
      </x:c>
      <x:c r="J223" s="49" t="n">
        <x:v>46282</x:v>
      </x:c>
      <x:c r="K223"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3"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3" s="45" t="str">
        <x:v>Hexagon.balance_sheet_date</x:v>
      </x:c>
    </x:row>
    <x:row r="224" ht="96" hidden="0" customHeight="1">
      <x:c r="A224" s="2"/>
      <x:c r="B224" s="2"/>
      <x:c r="C224" s="45" t="str">
        <x:v>Hexagon</x:v>
      </x:c>
      <x:c r="D224" s="46" t="str">
        <x:v>HEXA B</x:v>
      </x:c>
      <x:c r="E224" s="45" t="str">
        <x:v>EUR</x:v>
      </x:c>
      <x:c r="F224" s="45" t="str">
        <x:v>2026 Q2, 3 months</x:v>
      </x:c>
      <x:c r="G224" s="45" t="str">
        <x:v>monetary_unit</x:v>
      </x:c>
      <x:c r="H224" s="45" t="str">
        <x:v>million</x:v>
      </x:c>
      <x:c r="I224" s="45" t="str">
        <x:v>원문 범위</x:v>
      </x:c>
      <x:c r="J224" s="49" t="n">
        <x:v>46282</x:v>
      </x:c>
      <x:c r="K224"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4"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4" s="45" t="str">
        <x:v>Hexagon.monetary_unit</x:v>
      </x:c>
    </x:row>
    <x:row r="225" ht="96" hidden="0" customHeight="1">
      <x:c r="A225" s="2"/>
      <x:c r="B225" s="2"/>
      <x:c r="C225" s="45" t="str">
        <x:v>Hexagon</x:v>
      </x:c>
      <x:c r="D225" s="46" t="str">
        <x:v>HEXA B</x:v>
      </x:c>
      <x:c r="E225" s="45" t="str">
        <x:v>EUR</x:v>
      </x:c>
      <x:c r="F225" s="45" t="str">
        <x:v>2026 Q2, 3 months</x:v>
      </x:c>
      <x:c r="G225" s="45" t="str">
        <x:v>영업이익률</x:v>
      </x:c>
      <x:c r="H225" s="51" t="n">
        <x:v>23.938297467149113</x:v>
      </x:c>
      <x:c r="I225" s="45" t="str">
        <x:v>%</x:v>
      </x:c>
      <x:c r="J225" s="49" t="n">
        <x:v>46282</x:v>
      </x:c>
      <x:c r="K225"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5"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5" s="45" t="str">
        <x:v>Hexagon.operating_margin_percent</x:v>
      </x:c>
    </x:row>
    <x:row r="226" ht="96" hidden="0" customHeight="1">
      <x:c r="A226" s="2"/>
      <x:c r="B226" s="2"/>
      <x:c r="C226" s="45" t="str">
        <x:v>Hexagon</x:v>
      </x:c>
      <x:c r="D226" s="46" t="str">
        <x:v>HEXA B</x:v>
      </x:c>
      <x:c r="E226" s="45" t="str">
        <x:v>EUR</x:v>
      </x:c>
      <x:c r="F226" s="45" t="str">
        <x:v>2026 Q2, 3 months</x:v>
      </x:c>
      <x:c r="G226" s="45" t="str">
        <x:v>휴머노이드 매출 공개 범위</x:v>
      </x:c>
      <x:c r="H226" s="45" t="str">
        <x:v>not_separately_disclosed; robotics cost adjustment disclosed</x:v>
      </x:c>
      <x:c r="I226" s="45" t="str">
        <x:v>원문 범위</x:v>
      </x:c>
      <x:c r="J226" s="49" t="n">
        <x:v>46282</x:v>
      </x:c>
      <x:c r="K226"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6"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6" s="45" t="str">
        <x:v>Hexagon.humanoid_revenue_disclosed</x:v>
      </x:c>
    </x:row>
    <x:row r="227" ht="96" hidden="0" customHeight="1">
      <x:c r="A227" s="2"/>
      <x:c r="B227" s="2"/>
      <x:c r="C227" s="45" t="str">
        <x:v>Hexagon</x:v>
      </x:c>
      <x:c r="D227" s="46" t="str">
        <x:v>HEXA B</x:v>
      </x:c>
      <x:c r="E227" s="45" t="str">
        <x:v>EUR</x:v>
      </x:c>
      <x:c r="F227" s="45" t="str">
        <x:v>2026 Q2, 3 months</x:v>
      </x:c>
      <x:c r="G227" s="45" t="str">
        <x:v>해석 조건·한계</x:v>
      </x:c>
      <x:c r="H227"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I227" s="45" t="str">
        <x:v>원문 범위</x:v>
      </x:c>
      <x:c r="J227" s="49" t="n">
        <x:v>46282</x:v>
      </x:c>
      <x:c r="K227"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7"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7" s="45" t="str">
        <x:v>Hexagon.notes</x:v>
      </x:c>
    </x:row>
    <x:row r="228" ht="96" hidden="0" customHeight="1">
      <x:c r="A228" s="2"/>
      <x:c r="B228" s="2"/>
      <x:c r="C228" s="45" t="str">
        <x:v>Hexagon</x:v>
      </x:c>
      <x:c r="D228" s="46" t="str">
        <x:v>HEXA B</x:v>
      </x:c>
      <x:c r="E228" s="45" t="str">
        <x:v>EUR</x:v>
      </x:c>
      <x:c r="F228" s="45" t="str">
        <x:v>2026 Q2, 3 months</x:v>
      </x:c>
      <x:c r="G228" s="45" t="str">
        <x:v>현금 범위</x:v>
      </x:c>
      <x:c r="H228" s="45" t="str">
        <x:v>cash and cash equivalents</x:v>
      </x:c>
      <x:c r="I228" s="45" t="str">
        <x:v>원문 범위</x:v>
      </x:c>
      <x:c r="J228" s="49" t="n">
        <x:v>46282</x:v>
      </x:c>
      <x:c r="K228"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8"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8" s="45" t="str">
        <x:v>Hexagon.cash_scope</x:v>
      </x:c>
    </x:row>
    <x:row r="229" ht="96" hidden="0" customHeight="1">
      <x:c r="A229" s="2"/>
      <x:c r="B229" s="2"/>
      <x:c r="C229" s="45" t="str">
        <x:v>Hexagon</x:v>
      </x:c>
      <x:c r="D229" s="46" t="str">
        <x:v>HEXA B</x:v>
      </x:c>
      <x:c r="E229" s="45" t="str">
        <x:v>EUR</x:v>
      </x:c>
      <x:c r="F229" s="45" t="str">
        <x:v>2026 Q2, 3 months</x:v>
      </x:c>
      <x:c r="G229" s="45" t="str">
        <x:v>차입금 범위</x:v>
      </x:c>
      <x:c r="H229" s="45" t="str">
        <x:v>long-term interest-bearing 1581.8 plus short-term 918.7; excludes lease liabilities 143.8 and pension liabilities 49.0</x:v>
      </x:c>
      <x:c r="I229" s="45" t="str">
        <x:v>원문 범위</x:v>
      </x:c>
      <x:c r="J229" s="49" t="n">
        <x:v>46282</x:v>
      </x:c>
      <x:c r="K229"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29"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29" s="45" t="str">
        <x:v>Hexagon.debt_scope</x:v>
      </x:c>
    </x:row>
    <x:row r="230" ht="96" hidden="0" customHeight="1">
      <x:c r="A230" s="2"/>
      <x:c r="B230" s="2"/>
      <x:c r="C230" s="45" t="str">
        <x:v>Hexagon</x:v>
      </x:c>
      <x:c r="D230" s="46" t="str">
        <x:v>HEXA B</x:v>
      </x:c>
      <x:c r="E230" s="45" t="str">
        <x:v>EUR</x:v>
      </x:c>
      <x:c r="F230" s="45" t="str">
        <x:v>2026 Q2, 3 months</x:v>
      </x:c>
      <x:c r="G230" s="45" t="str">
        <x:v>net_debt_company_definition</x:v>
      </x:c>
      <x:c r="H230" s="51" t="n">
        <x:v>531.8</x:v>
      </x:c>
      <x:c r="I230" s="45" t="str">
        <x:v>백만</x:v>
      </x:c>
      <x:c r="J230" s="49" t="n">
        <x:v>46282</x:v>
      </x:c>
      <x:c r="K230"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0"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0" s="45" t="str">
        <x:v>Hexagon.net_debt_company_definition</x:v>
      </x:c>
    </x:row>
    <x:row r="231" ht="96" hidden="0" customHeight="1">
      <x:c r="A231" s="2"/>
      <x:c r="B231" s="2"/>
      <x:c r="C231" s="45" t="str">
        <x:v>Hexagon</x:v>
      </x:c>
      <x:c r="D231" s="46" t="str">
        <x:v>HEXA B</x:v>
      </x:c>
      <x:c r="E231" s="45" t="str">
        <x:v>EUR</x:v>
      </x:c>
      <x:c r="F231" s="45" t="str">
        <x:v>2026 Q2, 3 months</x:v>
      </x:c>
      <x:c r="G231" s="45" t="str">
        <x:v>adjusted_ebitac_excluding_robotics</x:v>
      </x:c>
      <x:c r="H231" s="51" t="n">
        <x:v>255.1</x:v>
      </x:c>
      <x:c r="I231" s="45" t="str">
        <x:v>백만</x:v>
      </x:c>
      <x:c r="J231" s="49" t="n">
        <x:v>46282</x:v>
      </x:c>
      <x:c r="K231"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1"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1" s="45" t="str">
        <x:v>Hexagon.adjusted_ebitac_excluding_robotics</x:v>
      </x:c>
    </x:row>
    <x:row r="232" ht="96" hidden="0" customHeight="1">
      <x:c r="A232" s="2"/>
      <x:c r="B232" s="2"/>
      <x:c r="C232" s="45" t="str">
        <x:v>Hexagon</x:v>
      </x:c>
      <x:c r="D232" s="46" t="str">
        <x:v>HEXA B</x:v>
      </x:c>
      <x:c r="E232" s="45" t="str">
        <x:v>EUR</x:v>
      </x:c>
      <x:c r="F232" s="45" t="str">
        <x:v>2026 Q2, 3 months</x:v>
      </x:c>
      <x:c r="G232" s="45" t="str">
        <x:v>adjusted_ebitac_including_robotics</x:v>
      </x:c>
      <x:c r="H232" s="51" t="n">
        <x:v>244.7</x:v>
      </x:c>
      <x:c r="I232" s="45" t="str">
        <x:v>백만</x:v>
      </x:c>
      <x:c r="J232" s="49" t="n">
        <x:v>46282</x:v>
      </x:c>
      <x:c r="K232"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2"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2" s="45" t="str">
        <x:v>Hexagon.adjusted_ebitac_including_robotics</x:v>
      </x:c>
    </x:row>
    <x:row r="233" ht="96" hidden="0" customHeight="1">
      <x:c r="A233" s="2"/>
      <x:c r="B233" s="2"/>
      <x:c r="C233" s="45" t="str">
        <x:v>Hexagon</x:v>
      </x:c>
      <x:c r="D233" s="46" t="str">
        <x:v>HEXA B</x:v>
      </x:c>
      <x:c r="E233" s="45" t="str">
        <x:v>EUR</x:v>
      </x:c>
      <x:c r="F233" s="45" t="str">
        <x:v>2026 Q2, 3 months</x:v>
      </x:c>
      <x:c r="G233" s="45" t="str">
        <x:v>robotics_adjustment_h1</x:v>
      </x:c>
      <x:c r="H233" s="51" t="n">
        <x:v>17.7</x:v>
      </x:c>
      <x:c r="I233" s="45" t="str">
        <x:v>백만</x:v>
      </x:c>
      <x:c r="J233" s="49" t="n">
        <x:v>46282</x:v>
      </x:c>
      <x:c r="K233"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3"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3" s="45" t="str">
        <x:v>Hexagon.robotics_adjustment_h1</x:v>
      </x:c>
    </x:row>
    <x:row r="234" ht="96" hidden="0" customHeight="1">
      <x:c r="A234" s="2"/>
      <x:c r="B234" s="2"/>
      <x:c r="C234" s="45" t="str">
        <x:v>Hexagon</x:v>
      </x:c>
      <x:c r="D234" s="46" t="str">
        <x:v>HEXA B</x:v>
      </x:c>
      <x:c r="E234" s="45" t="str">
        <x:v>EUR</x:v>
      </x:c>
      <x:c r="F234" s="45" t="str">
        <x:v>2026 Q2, 3 months</x:v>
      </x:c>
      <x:c r="G234" s="45" t="str">
        <x:v>현금흐름 기간</x:v>
      </x:c>
      <x:c r="H234" s="45" t="str">
        <x:v>2026 Q2</x:v>
      </x:c>
      <x:c r="I234" s="45" t="str">
        <x:v>원문 범위</x:v>
      </x:c>
      <x:c r="J234" s="49" t="n">
        <x:v>46282</x:v>
      </x:c>
      <x:c r="K234"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4"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4" s="45" t="str">
        <x:v>Hexagon.cash_flow_period</x:v>
      </x:c>
    </x:row>
    <x:row r="235" ht="96" hidden="0" customHeight="1">
      <x:c r="A235" s="2"/>
      <x:c r="B235" s="2"/>
      <x:c r="C235" s="45" t="str">
        <x:v>Hexagon</x:v>
      </x:c>
      <x:c r="D235" s="46" t="str">
        <x:v>HEXA B</x:v>
      </x:c>
      <x:c r="E235" s="45" t="str">
        <x:v>EUR</x:v>
      </x:c>
      <x:c r="F235" s="45" t="str">
        <x:v>2026 Q2, 3 months</x:v>
      </x:c>
      <x:c r="G235" s="45" t="str">
        <x:v>operating_cash_flow_scope</x:v>
      </x:c>
      <x:c r="H235" s="45" t="str">
        <x:v>company operations line before investments and separately presented non-recurring cash flow</x:v>
      </x:c>
      <x:c r="I235" s="45" t="str">
        <x:v>원문 범위</x:v>
      </x:c>
      <x:c r="J235" s="49" t="n">
        <x:v>46282</x:v>
      </x:c>
      <x:c r="K235"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5"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5" s="45" t="str">
        <x:v>Hexagon.operating_cash_flow_scope</x:v>
      </x:c>
    </x:row>
    <x:row r="236" ht="96" hidden="0" customHeight="1">
      <x:c r="A236" s="2"/>
      <x:c r="B236" s="2"/>
      <x:c r="C236" s="45" t="str">
        <x:v>Hexagon</x:v>
      </x:c>
      <x:c r="D236" s="46" t="str">
        <x:v>HEXA B</x:v>
      </x:c>
      <x:c r="E236" s="45" t="str">
        <x:v>EUR</x:v>
      </x:c>
      <x:c r="F236" s="45" t="str">
        <x:v>2026 Q2, 3 months</x:v>
      </x:c>
      <x:c r="G236" s="45" t="str">
        <x:v>capex_scope</x:v>
      </x:c>
      <x:c r="H236" s="45" t="str">
        <x:v>net tangible investment 26.6 plus intangible investment 82.6</x:v>
      </x:c>
      <x:c r="I236" s="45" t="str">
        <x:v>원문 범위</x:v>
      </x:c>
      <x:c r="J236" s="49" t="n">
        <x:v>46282</x:v>
      </x:c>
      <x:c r="K236"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6"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6" s="45" t="str">
        <x:v>Hexagon.capex_scope</x:v>
      </x:c>
    </x:row>
    <x:row r="237" ht="96" hidden="0" customHeight="1">
      <x:c r="A237" s="2"/>
      <x:c r="B237" s="2"/>
      <x:c r="C237" s="45" t="str">
        <x:v>Hexagon</x:v>
      </x:c>
      <x:c r="D237" s="46" t="str">
        <x:v>HEXA B</x:v>
      </x:c>
      <x:c r="E237" s="45" t="str">
        <x:v>EUR</x:v>
      </x:c>
      <x:c r="F237" s="45" t="str">
        <x:v>2026 Q2, 3 months</x:v>
      </x:c>
      <x:c r="G237" s="45" t="str">
        <x:v>잉여현금흐름 정의</x:v>
      </x:c>
      <x:c r="H237" s="45" t="str">
        <x:v>company investment-after operating cash flow = 400.7 - 109.2 - separately presented non-recurring cash costs 39.9</x:v>
      </x:c>
      <x:c r="I237" s="45" t="str">
        <x:v>원문 범위</x:v>
      </x:c>
      <x:c r="J237" s="49" t="n">
        <x:v>46282</x:v>
      </x:c>
      <x:c r="K237"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7"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7" s="45" t="str">
        <x:v>Hexagon.free_cash_flow_definition</x:v>
      </x:c>
    </x:row>
    <x:row r="238" ht="96" hidden="0" customHeight="1">
      <x:c r="A238" s="2"/>
      <x:c r="B238" s="2"/>
      <x:c r="C238" s="45" t="str">
        <x:v>Hexagon</x:v>
      </x:c>
      <x:c r="D238" s="46" t="str">
        <x:v>HEXA B</x:v>
      </x:c>
      <x:c r="E238" s="45" t="str">
        <x:v>SEK</x:v>
      </x:c>
      <x:c r="F238" s="45" t="str">
        <x:v>2026-09-16 17:29 GMT+2</x:v>
      </x:c>
      <x:c r="G238" s="45" t="str">
        <x:v>시가총액 확인 범위</x:v>
      </x:c>
      <x:c r="H238" s="45" t="str">
        <x:v>Google Finance reported rounded market cap</x:v>
      </x:c>
      <x:c r="I238" s="45" t="str">
        <x:v>원문 범위</x:v>
      </x:c>
      <x:c r="J238" s="49" t="n">
        <x:v>46282</x:v>
      </x:c>
      <x:c r="K238"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8"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8" s="45" t="str">
        <x:v>Hexagon.market_cap_status</x:v>
      </x:c>
    </x:row>
    <x:row r="239" ht="96" hidden="0" customHeight="1">
      <x:c r="A239" s="2"/>
      <x:c r="B239" s="2"/>
      <x:c r="C239" s="45" t="str">
        <x:v>Hexagon</x:v>
      </x:c>
      <x:c r="D239" s="46" t="str">
        <x:v>HEXA B</x:v>
      </x:c>
      <x:c r="E239" s="45" t="str">
        <x:v>EUR</x:v>
      </x:c>
      <x:c r="F239" s="45" t="str">
        <x:v>2026 Q2, 3 months</x:v>
      </x:c>
      <x:c r="G239" s="45" t="str">
        <x:v>unitree_equity_stake_percent</x:v>
      </x:c>
      <x:c r="H239" s="51" t="n">
        <x:v>1.198</x:v>
      </x:c>
      <x:c r="I239" s="45" t="str">
        <x:v>%</x:v>
      </x:c>
      <x:c r="J239" s="49" t="n">
        <x:v>46282</x:v>
      </x:c>
      <x:c r="K239" s="45" t="str">
        <x:v>https://airtools-hexagon.prod-mid-euw3.investis.com/sites/airtools-hexagon/files/pr/202607282482-1.pdf
https://investors.hexagon.com/
https://hexagon.com/company/newsroom/press-releases/2026/hexagons-shareholding-in-hangzhou-yushu-technology-co-ltd-unitree-technologies
https://www.google.com/finance/quote/HEXA-B:STO</x:v>
      </x:c>
      <x:c r="L239" s="45" t="str">
        <x:v>Share quote currency SEK differs from financial reporting currency EUR.
Q2 reported operating earnings are continuing operations; H1 capital gain 1588.0 and discontinued operations loss -1475.6 are not recurring robot earnings.
Headline EBITAC margin 24.3% excludes Robotics; including Robotics 23.3%. EBITAC expends current R&amp;D by adjusting capitalization/amortization.
Unitree investment, AEON business and industrial software/sensors are distinct exposures.
August 19 example revaluation gain approximately EUR 500m is not cash realized and final September 30 valuation is still future at cutoff.</x:v>
      </x:c>
      <x:c r="M239" s="45" t="str">
        <x:v>Hexagon.unitree_equity_stake_percent</x:v>
      </x:c>
    </x:row>
    <x:row r="240" ht="24" hidden="0" customHeight="1">
      <x:c r="A240" s="2"/>
      <x:c r="B240" s="2"/>
      <x:c r="C240" s="45" t="str">
        <x:v>Jabil</x:v>
      </x:c>
      <x:c r="D240" s="46" t="str">
        <x:v>JBL</x:v>
      </x:c>
      <x:c r="E240" s="45" t="str">
        <x:v>USD</x:v>
      </x:c>
      <x:c r="F240" s="45" t="str">
        <x:v>2026-09-16 US close</x:v>
      </x:c>
      <x:c r="G240" s="45" t="str">
        <x:v>주가</x:v>
      </x:c>
      <x:c r="H240" s="51" t="n">
        <x:v>297.24</x:v>
      </x:c>
      <x:c r="I240" s="45" t="str">
        <x:v>통화/주</x:v>
      </x:c>
      <x:c r="J240" s="49" t="n">
        <x:v>46282</x:v>
      </x:c>
      <x:c r="K240" s="45" t="str">
        <x:v>https://investors.jabil.com/news/news-details/2026/Jabil-Posts-Third-Quarter-Results/default.aspx
https://www.google.com/finance/quote/JBL:NYSE</x:v>
      </x:c>
      <x:c r="L240" s="45" t="str">
        <x:v>Nine-month acquisitions 852 and buybacks 891 also reduce cash; cash decline is not humanoid operating burn.
Robot contract manufacturing revenue and margin are not separately reported in these results.</x:v>
      </x:c>
      <x:c r="M240" s="45" t="str">
        <x:v>Jabil.price</x:v>
      </x:c>
    </x:row>
    <x:row r="241" ht="24" hidden="0" customHeight="1">
      <x:c r="A241" s="2"/>
      <x:c r="B241" s="2"/>
      <x:c r="C241" s="45" t="str">
        <x:v>Jabil</x:v>
      </x:c>
      <x:c r="D241" s="46" t="str">
        <x:v>JBL</x:v>
      </x:c>
      <x:c r="E241" s="45" t="str">
        <x:v>USD</x:v>
      </x:c>
      <x:c r="F241" s="45" t="str">
        <x:v>2026-09-16 US close</x:v>
      </x:c>
      <x:c r="G241" s="45" t="str">
        <x:v>시가총액</x:v>
      </x:c>
      <x:c r="H241" s="51" t="n">
        <x:v>31150</x:v>
      </x:c>
      <x:c r="I241" s="45" t="str">
        <x:v>백만</x:v>
      </x:c>
      <x:c r="J241" s="49" t="n">
        <x:v>46282</x:v>
      </x:c>
      <x:c r="K241" s="45" t="str">
        <x:v>https://investors.jabil.com/news/news-details/2026/Jabil-Posts-Third-Quarter-Results/default.aspx
https://www.google.com/finance/quote/JBL:NYSE</x:v>
      </x:c>
      <x:c r="L241" s="45" t="str">
        <x:v>Nine-month acquisitions 852 and buybacks 891 also reduce cash; cash decline is not humanoid operating burn.
Robot contract manufacturing revenue and margin are not separately reported in these results.</x:v>
      </x:c>
      <x:c r="M241" s="45" t="str">
        <x:v>Jabil.market_cap</x:v>
      </x:c>
    </x:row>
    <x:row r="242" ht="24" hidden="0" customHeight="1">
      <x:c r="A242" s="2"/>
      <x:c r="B242" s="2"/>
      <x:c r="C242" s="45" t="str">
        <x:v>Jabil</x:v>
      </x:c>
      <x:c r="D242" s="46" t="str">
        <x:v>JBL</x:v>
      </x:c>
      <x:c r="E242" s="45" t="str">
        <x:v>USD</x:v>
      </x:c>
      <x:c r="F242" s="45" t="str">
        <x:v>FY2026 Q3, 3 months</x:v>
      </x:c>
      <x:c r="G242" s="45" t="str">
        <x:v>매출</x:v>
      </x:c>
      <x:c r="H242" s="51" t="n">
        <x:v>8751</x:v>
      </x:c>
      <x:c r="I242" s="45" t="str">
        <x:v>백만</x:v>
      </x:c>
      <x:c r="J242" s="49" t="n">
        <x:v>46282</x:v>
      </x:c>
      <x:c r="K242" s="45" t="str">
        <x:v>https://investors.jabil.com/news/news-details/2026/Jabil-Posts-Third-Quarter-Results/default.aspx
https://www.google.com/finance/quote/JBL:NYSE</x:v>
      </x:c>
      <x:c r="L242" s="45" t="str">
        <x:v>Nine-month acquisitions 852 and buybacks 891 also reduce cash; cash decline is not humanoid operating burn.
Robot contract manufacturing revenue and margin are not separately reported in these results.</x:v>
      </x:c>
      <x:c r="M242" s="45" t="str">
        <x:v>Jabil.revenue</x:v>
      </x:c>
    </x:row>
    <x:row r="243" ht="24" hidden="0" customHeight="1">
      <x:c r="A243" s="2"/>
      <x:c r="B243" s="2"/>
      <x:c r="C243" s="45" t="str">
        <x:v>Jabil</x:v>
      </x:c>
      <x:c r="D243" s="46" t="str">
        <x:v>JBL</x:v>
      </x:c>
      <x:c r="E243" s="45" t="str">
        <x:v>USD</x:v>
      </x:c>
      <x:c r="F243" s="45" t="str">
        <x:v>FY2026 Q3, 3 months</x:v>
      </x:c>
      <x:c r="G243" s="45" t="str">
        <x:v>영업이익</x:v>
      </x:c>
      <x:c r="H243" s="51" t="n">
        <x:v>445</x:v>
      </x:c>
      <x:c r="I243" s="45" t="str">
        <x:v>백만</x:v>
      </x:c>
      <x:c r="J243" s="49" t="n">
        <x:v>46282</x:v>
      </x:c>
      <x:c r="K243" s="45" t="str">
        <x:v>https://investors.jabil.com/news/news-details/2026/Jabil-Posts-Third-Quarter-Results/default.aspx
https://www.google.com/finance/quote/JBL:NYSE</x:v>
      </x:c>
      <x:c r="L243" s="45" t="str">
        <x:v>Nine-month acquisitions 852 and buybacks 891 also reduce cash; cash decline is not humanoid operating burn.
Robot contract manufacturing revenue and margin are not separately reported in these results.</x:v>
      </x:c>
      <x:c r="M243" s="45" t="str">
        <x:v>Jabil.operating_profit</x:v>
      </x:c>
    </x:row>
    <x:row r="244" ht="24" hidden="0" customHeight="1">
      <x:c r="A244" s="2"/>
      <x:c r="B244" s="2"/>
      <x:c r="C244" s="45" t="str">
        <x:v>Jabil</x:v>
      </x:c>
      <x:c r="D244" s="46" t="str">
        <x:v>JBL</x:v>
      </x:c>
      <x:c r="E244" s="45" t="str">
        <x:v>USD</x:v>
      </x:c>
      <x:c r="F244" s="45" t="str">
        <x:v>2026-05-31</x:v>
      </x:c>
      <x:c r="G244" s="45" t="str">
        <x:v>현금</x:v>
      </x:c>
      <x:c r="H244" s="51" t="n">
        <x:v>1360</x:v>
      </x:c>
      <x:c r="I244" s="45" t="str">
        <x:v>백만</x:v>
      </x:c>
      <x:c r="J244" s="49" t="n">
        <x:v>46282</x:v>
      </x:c>
      <x:c r="K244" s="45" t="str">
        <x:v>https://investors.jabil.com/news/news-details/2026/Jabil-Posts-Third-Quarter-Results/default.aspx
https://www.google.com/finance/quote/JBL:NYSE</x:v>
      </x:c>
      <x:c r="L244" s="45" t="str">
        <x:v>Nine-month acquisitions 852 and buybacks 891 also reduce cash; cash decline is not humanoid operating burn.
Robot contract manufacturing revenue and margin are not separately reported in these results.</x:v>
      </x:c>
      <x:c r="M244" s="45" t="str">
        <x:v>Jabil.cash</x:v>
      </x:c>
    </x:row>
    <x:row r="245" ht="24" hidden="0" customHeight="1">
      <x:c r="A245" s="2"/>
      <x:c r="B245" s="2"/>
      <x:c r="C245" s="45" t="str">
        <x:v>Jabil</x:v>
      </x:c>
      <x:c r="D245" s="46" t="str">
        <x:v>JBL</x:v>
      </x:c>
      <x:c r="E245" s="45" t="str">
        <x:v>USD</x:v>
      </x:c>
      <x:c r="F245" s="45" t="str">
        <x:v>2026-05-31</x:v>
      </x:c>
      <x:c r="G245" s="45" t="str">
        <x:v>차입금</x:v>
      </x:c>
      <x:c r="H245" s="51" t="n">
        <x:v>3378</x:v>
      </x:c>
      <x:c r="I245" s="45" t="str">
        <x:v>백만</x:v>
      </x:c>
      <x:c r="J245" s="49" t="n">
        <x:v>46282</x:v>
      </x:c>
      <x:c r="K245" s="45" t="str">
        <x:v>https://investors.jabil.com/news/news-details/2026/Jabil-Posts-Third-Quarter-Results/default.aspx
https://www.google.com/finance/quote/JBL:NYSE</x:v>
      </x:c>
      <x:c r="L245" s="45" t="str">
        <x:v>Nine-month acquisitions 852 and buybacks 891 also reduce cash; cash decline is not humanoid operating burn.
Robot contract manufacturing revenue and margin are not separately reported in these results.</x:v>
      </x:c>
      <x:c r="M245" s="45" t="str">
        <x:v>Jabil.debt</x:v>
      </x:c>
    </x:row>
    <x:row r="246" ht="24" hidden="0" customHeight="1">
      <x:c r="A246" s="2"/>
      <x:c r="B246" s="2"/>
      <x:c r="C246" s="45" t="str">
        <x:v>Jabil</x:v>
      </x:c>
      <x:c r="D246" s="46" t="str">
        <x:v>JBL</x:v>
      </x:c>
      <x:c r="E246" s="45" t="str">
        <x:v>USD</x:v>
      </x:c>
      <x:c r="F246" s="45" t="str">
        <x:v>FY2026 first 9 months, NOT Q3 only</x:v>
      </x:c>
      <x:c r="G246" s="45" t="str">
        <x:v>영업현금흐름</x:v>
      </x:c>
      <x:c r="H246" s="51" t="n">
        <x:v>1269</x:v>
      </x:c>
      <x:c r="I246" s="45" t="str">
        <x:v>백만</x:v>
      </x:c>
      <x:c r="J246" s="49" t="n">
        <x:v>46282</x:v>
      </x:c>
      <x:c r="K246" s="45" t="str">
        <x:v>https://investors.jabil.com/news/news-details/2026/Jabil-Posts-Third-Quarter-Results/default.aspx
https://www.google.com/finance/quote/JBL:NYSE</x:v>
      </x:c>
      <x:c r="L246" s="45" t="str">
        <x:v>Nine-month acquisitions 852 and buybacks 891 also reduce cash; cash decline is not humanoid operating burn.
Robot contract manufacturing revenue and margin are not separately reported in these results.</x:v>
      </x:c>
      <x:c r="M246" s="45" t="str">
        <x:v>Jabil.operating_cash_flow</x:v>
      </x:c>
    </x:row>
    <x:row r="247" ht="24" hidden="0" customHeight="1">
      <x:c r="A247" s="2"/>
      <x:c r="B247" s="2"/>
      <x:c r="C247" s="45" t="str">
        <x:v>Jabil</x:v>
      </x:c>
      <x:c r="D247" s="46" t="str">
        <x:v>JBL</x:v>
      </x:c>
      <x:c r="E247" s="45" t="str">
        <x:v>USD</x:v>
      </x:c>
      <x:c r="F247" s="45" t="str">
        <x:v>FY2026 first 9 months, NOT Q3 only</x:v>
      </x:c>
      <x:c r="G247" s="45" t="str">
        <x:v>설비·무형자산 투자</x:v>
      </x:c>
      <x:c r="H247" s="51" t="n">
        <x:v>382</x:v>
      </x:c>
      <x:c r="I247" s="45" t="str">
        <x:v>백만</x:v>
      </x:c>
      <x:c r="J247" s="49" t="n">
        <x:v>46282</x:v>
      </x:c>
      <x:c r="K247" s="45" t="str">
        <x:v>https://investors.jabil.com/news/news-details/2026/Jabil-Posts-Third-Quarter-Results/default.aspx
https://www.google.com/finance/quote/JBL:NYSE</x:v>
      </x:c>
      <x:c r="L247" s="45" t="str">
        <x:v>Nine-month acquisitions 852 and buybacks 891 also reduce cash; cash decline is not humanoid operating burn.
Robot contract manufacturing revenue and margin are not separately reported in these results.</x:v>
      </x:c>
      <x:c r="M247" s="45" t="str">
        <x:v>Jabil.capex</x:v>
      </x:c>
    </x:row>
    <x:row r="248" ht="24" hidden="0" customHeight="1">
      <x:c r="A248" s="2"/>
      <x:c r="B248" s="2"/>
      <x:c r="C248" s="45" t="str">
        <x:v>Jabil</x:v>
      </x:c>
      <x:c r="D248" s="46" t="str">
        <x:v>JBL</x:v>
      </x:c>
      <x:c r="E248" s="45" t="str">
        <x:v>USD</x:v>
      </x:c>
      <x:c r="F248" s="45" t="str">
        <x:v>FY2026 first 9 months, NOT Q3 only</x:v>
      </x:c>
      <x:c r="G248" s="45" t="str">
        <x:v>잉여현금흐름</x:v>
      </x:c>
      <x:c r="H248" s="51" t="n">
        <x:v>991</x:v>
      </x:c>
      <x:c r="I248" s="45" t="str">
        <x:v>백만</x:v>
      </x:c>
      <x:c r="J248" s="49" t="n">
        <x:v>46282</x:v>
      </x:c>
      <x:c r="K248" s="45" t="str">
        <x:v>https://investors.jabil.com/news/news-details/2026/Jabil-Posts-Third-Quarter-Results/default.aspx
https://www.google.com/finance/quote/JBL:NYSE</x:v>
      </x:c>
      <x:c r="L248" s="45" t="str">
        <x:v>Nine-month acquisitions 852 and buybacks 891 also reduce cash; cash decline is not humanoid operating burn.
Robot contract manufacturing revenue and margin are not separately reported in these results.</x:v>
      </x:c>
      <x:c r="M248" s="45" t="str">
        <x:v>Jabil.free_cash_flow</x:v>
      </x:c>
    </x:row>
    <x:row r="249" ht="24" hidden="0" customHeight="1">
      <x:c r="A249" s="2"/>
      <x:c r="B249" s="2"/>
      <x:c r="C249" s="45" t="str">
        <x:v>Jabil</x:v>
      </x:c>
      <x:c r="D249" s="46" t="str">
        <x:v>JBL</x:v>
      </x:c>
      <x:c r="E249" s="45" t="str">
        <x:v>USD</x:v>
      </x:c>
      <x:c r="F249" s="45" t="str">
        <x:v>FY2026 Q3, 3 months</x:v>
      </x:c>
      <x:c r="G249" s="45" t="str">
        <x:v>exchange</x:v>
      </x:c>
      <x:c r="H249" s="45" t="str">
        <x:v>NYSE</x:v>
      </x:c>
      <x:c r="I249" s="45" t="str">
        <x:v>원문 범위</x:v>
      </x:c>
      <x:c r="J249" s="49" t="n">
        <x:v>46282</x:v>
      </x:c>
      <x:c r="K249" s="45" t="str">
        <x:v>https://investors.jabil.com/news/news-details/2026/Jabil-Posts-Third-Quarter-Results/default.aspx
https://www.google.com/finance/quote/JBL:NYSE</x:v>
      </x:c>
      <x:c r="L249" s="45" t="str">
        <x:v>Nine-month acquisitions 852 and buybacks 891 also reduce cash; cash decline is not humanoid operating burn.
Robot contract manufacturing revenue and margin are not separately reported in these results.</x:v>
      </x:c>
      <x:c r="M249" s="45" t="str">
        <x:v>Jabil.exchange</x:v>
      </x:c>
    </x:row>
    <x:row r="250" ht="24" hidden="0" customHeight="1">
      <x:c r="A250" s="2"/>
      <x:c r="B250" s="2"/>
      <x:c r="C250" s="45" t="str">
        <x:v>Jabil</x:v>
      </x:c>
      <x:c r="D250" s="46" t="str">
        <x:v>JBL</x:v>
      </x:c>
      <x:c r="E250" s="45" t="str">
        <x:v>USD</x:v>
      </x:c>
      <x:c r="F250" s="45" t="str">
        <x:v>FY2026 Q3, 3 months</x:v>
      </x:c>
      <x:c r="G250" s="45" t="str">
        <x:v>listed_status</x:v>
      </x:c>
      <x:c r="H250" s="45" t="str">
        <x:v>listed_verified</x:v>
      </x:c>
      <x:c r="I250" s="45" t="str">
        <x:v>원문 범위</x:v>
      </x:c>
      <x:c r="J250" s="49" t="n">
        <x:v>46282</x:v>
      </x:c>
      <x:c r="K250" s="45" t="str">
        <x:v>https://investors.jabil.com/news/news-details/2026/Jabil-Posts-Third-Quarter-Results/default.aspx
https://www.google.com/finance/quote/JBL:NYSE</x:v>
      </x:c>
      <x:c r="L250" s="45" t="str">
        <x:v>Nine-month acquisitions 852 and buybacks 891 also reduce cash; cash decline is not humanoid operating burn.
Robot contract manufacturing revenue and margin are not separately reported in these results.</x:v>
      </x:c>
      <x:c r="M250" s="45" t="str">
        <x:v>Jabil.listed_status</x:v>
      </x:c>
    </x:row>
    <x:row r="251" ht="24" hidden="0" customHeight="1">
      <x:c r="A251" s="2"/>
      <x:c r="B251" s="2"/>
      <x:c r="C251" s="45" t="str">
        <x:v>Jabil</x:v>
      </x:c>
      <x:c r="D251" s="46" t="str">
        <x:v>JBL</x:v>
      </x:c>
      <x:c r="E251" s="45" t="str">
        <x:v>USD</x:v>
      </x:c>
      <x:c r="F251" s="45" t="str">
        <x:v>FY2026 Q3, 3 months</x:v>
      </x:c>
      <x:c r="G251" s="45" t="str">
        <x:v>as_of</x:v>
      </x:c>
      <x:c r="H251" s="45" t="str">
        <x:v>2026-09-17</x:v>
      </x:c>
      <x:c r="I251" s="45" t="str">
        <x:v>원문 범위</x:v>
      </x:c>
      <x:c r="J251" s="49" t="n">
        <x:v>46282</x:v>
      </x:c>
      <x:c r="K251" s="45" t="str">
        <x:v>https://investors.jabil.com/news/news-details/2026/Jabil-Posts-Third-Quarter-Results/default.aspx
https://www.google.com/finance/quote/JBL:NYSE</x:v>
      </x:c>
      <x:c r="L251" s="45" t="str">
        <x:v>Nine-month acquisitions 852 and buybacks 891 also reduce cash; cash decline is not humanoid operating burn.
Robot contract manufacturing revenue and margin are not separately reported in these results.</x:v>
      </x:c>
      <x:c r="M251" s="45" t="str">
        <x:v>Jabil.as_of</x:v>
      </x:c>
    </x:row>
    <x:row r="252" ht="24" hidden="0" customHeight="1">
      <x:c r="A252" s="2"/>
      <x:c r="B252" s="2"/>
      <x:c r="C252" s="45" t="str">
        <x:v>Jabil</x:v>
      </x:c>
      <x:c r="D252" s="46" t="str">
        <x:v>JBL</x:v>
      </x:c>
      <x:c r="E252" s="45" t="str">
        <x:v>USD</x:v>
      </x:c>
      <x:c r="F252" s="45" t="str">
        <x:v>FY2026 Q3, 3 months</x:v>
      </x:c>
      <x:c r="G252" s="45" t="str">
        <x:v>주가 관측 시점</x:v>
      </x:c>
      <x:c r="H252" s="45" t="str">
        <x:v>2026-09-16 US close</x:v>
      </x:c>
      <x:c r="I252" s="45" t="str">
        <x:v>원문 범위</x:v>
      </x:c>
      <x:c r="J252" s="49" t="n">
        <x:v>46282</x:v>
      </x:c>
      <x:c r="K252" s="45" t="str">
        <x:v>https://investors.jabil.com/news/news-details/2026/Jabil-Posts-Third-Quarter-Results/default.aspx
https://www.google.com/finance/quote/JBL:NYSE</x:v>
      </x:c>
      <x:c r="L252" s="45" t="str">
        <x:v>Nine-month acquisitions 852 and buybacks 891 also reduce cash; cash decline is not humanoid operating burn.
Robot contract manufacturing revenue and margin are not separately reported in these results.</x:v>
      </x:c>
      <x:c r="M252" s="45" t="str">
        <x:v>Jabil.price_date</x:v>
      </x:c>
    </x:row>
    <x:row r="253" ht="24" hidden="0" customHeight="1">
      <x:c r="A253" s="2"/>
      <x:c r="B253" s="2"/>
      <x:c r="C253" s="45" t="str">
        <x:v>Jabil</x:v>
      </x:c>
      <x:c r="D253" s="46" t="str">
        <x:v>JBL</x:v>
      </x:c>
      <x:c r="E253" s="45" t="str">
        <x:v>USD</x:v>
      </x:c>
      <x:c r="F253" s="45" t="str">
        <x:v>FY2026 Q3, 3 months</x:v>
      </x:c>
      <x:c r="G253" s="45" t="str">
        <x:v>price_currency</x:v>
      </x:c>
      <x:c r="H253" s="45" t="str">
        <x:v>USD</x:v>
      </x:c>
      <x:c r="I253" s="45" t="str">
        <x:v>원문 범위</x:v>
      </x:c>
      <x:c r="J253" s="49" t="n">
        <x:v>46282</x:v>
      </x:c>
      <x:c r="K253" s="45" t="str">
        <x:v>https://investors.jabil.com/news/news-details/2026/Jabil-Posts-Third-Quarter-Results/default.aspx
https://www.google.com/finance/quote/JBL:NYSE</x:v>
      </x:c>
      <x:c r="L253" s="45" t="str">
        <x:v>Nine-month acquisitions 852 and buybacks 891 also reduce cash; cash decline is not humanoid operating burn.
Robot contract manufacturing revenue and margin are not separately reported in these results.</x:v>
      </x:c>
      <x:c r="M253" s="45" t="str">
        <x:v>Jabil.price_currency</x:v>
      </x:c>
    </x:row>
    <x:row r="254" ht="24" hidden="0" customHeight="1">
      <x:c r="A254" s="2"/>
      <x:c r="B254" s="2"/>
      <x:c r="C254" s="45" t="str">
        <x:v>Jabil</x:v>
      </x:c>
      <x:c r="D254" s="46" t="str">
        <x:v>JBL</x:v>
      </x:c>
      <x:c r="E254" s="45" t="str">
        <x:v>USD</x:v>
      </x:c>
      <x:c r="F254" s="45" t="str">
        <x:v>2026-09-16 US close</x:v>
      </x:c>
      <x:c r="G254" s="45" t="str">
        <x:v>market_cap_currency</x:v>
      </x:c>
      <x:c r="H254" s="45" t="str">
        <x:v>USD</x:v>
      </x:c>
      <x:c r="I254" s="45" t="str">
        <x:v>원문 범위</x:v>
      </x:c>
      <x:c r="J254" s="49" t="n">
        <x:v>46282</x:v>
      </x:c>
      <x:c r="K254" s="45" t="str">
        <x:v>https://investors.jabil.com/news/news-details/2026/Jabil-Posts-Third-Quarter-Results/default.aspx
https://www.google.com/finance/quote/JBL:NYSE</x:v>
      </x:c>
      <x:c r="L254" s="45" t="str">
        <x:v>Nine-month acquisitions 852 and buybacks 891 also reduce cash; cash decline is not humanoid operating burn.
Robot contract manufacturing revenue and margin are not separately reported in these results.</x:v>
      </x:c>
      <x:c r="M254" s="45" t="str">
        <x:v>Jabil.market_cap_currency</x:v>
      </x:c>
    </x:row>
    <x:row r="255" ht="24" hidden="0" customHeight="1">
      <x:c r="A255" s="2"/>
      <x:c r="B255" s="2"/>
      <x:c r="C255" s="45" t="str">
        <x:v>Jabil</x:v>
      </x:c>
      <x:c r="D255" s="46" t="str">
        <x:v>JBL</x:v>
      </x:c>
      <x:c r="E255" s="45" t="str">
        <x:v>USD</x:v>
      </x:c>
      <x:c r="F255" s="45" t="str">
        <x:v>2026-09-16 US close</x:v>
      </x:c>
      <x:c r="G255" s="45" t="str">
        <x:v>market_cap_unit</x:v>
      </x:c>
      <x:c r="H255" s="45" t="str">
        <x:v>million</x:v>
      </x:c>
      <x:c r="I255" s="45" t="str">
        <x:v>원문 범위</x:v>
      </x:c>
      <x:c r="J255" s="49" t="n">
        <x:v>46282</x:v>
      </x:c>
      <x:c r="K255" s="45" t="str">
        <x:v>https://investors.jabil.com/news/news-details/2026/Jabil-Posts-Third-Quarter-Results/default.aspx
https://www.google.com/finance/quote/JBL:NYSE</x:v>
      </x:c>
      <x:c r="L255" s="45" t="str">
        <x:v>Nine-month acquisitions 852 and buybacks 891 also reduce cash; cash decline is not humanoid operating burn.
Robot contract manufacturing revenue and margin are not separately reported in these results.</x:v>
      </x:c>
      <x:c r="M255" s="45" t="str">
        <x:v>Jabil.market_cap_unit</x:v>
      </x:c>
    </x:row>
    <x:row r="256" ht="24" hidden="0" customHeight="1">
      <x:c r="A256" s="2"/>
      <x:c r="B256" s="2"/>
      <x:c r="C256" s="45" t="str">
        <x:v>Jabil</x:v>
      </x:c>
      <x:c r="D256" s="46" t="str">
        <x:v>JBL</x:v>
      </x:c>
      <x:c r="E256" s="45" t="str">
        <x:v>USD</x:v>
      </x:c>
      <x:c r="F256" s="45" t="str">
        <x:v>FY2026 Q3, 3 months</x:v>
      </x:c>
      <x:c r="G256" s="45" t="str">
        <x:v>실적 기간</x:v>
      </x:c>
      <x:c r="H256" s="45" t="str">
        <x:v>FY2026 Q3, 3 months</x:v>
      </x:c>
      <x:c r="I256" s="45" t="str">
        <x:v>원문 범위</x:v>
      </x:c>
      <x:c r="J256" s="49" t="n">
        <x:v>46282</x:v>
      </x:c>
      <x:c r="K256" s="45" t="str">
        <x:v>https://investors.jabil.com/news/news-details/2026/Jabil-Posts-Third-Quarter-Results/default.aspx
https://www.google.com/finance/quote/JBL:NYSE</x:v>
      </x:c>
      <x:c r="L256" s="45" t="str">
        <x:v>Nine-month acquisitions 852 and buybacks 891 also reduce cash; cash decline is not humanoid operating burn.
Robot contract manufacturing revenue and margin are not separately reported in these results.</x:v>
      </x:c>
      <x:c r="M256" s="45" t="str">
        <x:v>Jabil.financial_period</x:v>
      </x:c>
    </x:row>
    <x:row r="257" ht="24" hidden="0" customHeight="1">
      <x:c r="A257" s="2"/>
      <x:c r="B257" s="2"/>
      <x:c r="C257" s="45" t="str">
        <x:v>Jabil</x:v>
      </x:c>
      <x:c r="D257" s="46" t="str">
        <x:v>JBL</x:v>
      </x:c>
      <x:c r="E257" s="45" t="str">
        <x:v>USD</x:v>
      </x:c>
      <x:c r="F257" s="45" t="str">
        <x:v>FY2026 Q3, 3 months</x:v>
      </x:c>
      <x:c r="G257" s="45" t="str">
        <x:v>재무상태표 날짜</x:v>
      </x:c>
      <x:c r="H257" s="45" t="str">
        <x:v>2026-05-31</x:v>
      </x:c>
      <x:c r="I257" s="45" t="str">
        <x:v>원문 범위</x:v>
      </x:c>
      <x:c r="J257" s="49" t="n">
        <x:v>46282</x:v>
      </x:c>
      <x:c r="K257" s="45" t="str">
        <x:v>https://investors.jabil.com/news/news-details/2026/Jabil-Posts-Third-Quarter-Results/default.aspx
https://www.google.com/finance/quote/JBL:NYSE</x:v>
      </x:c>
      <x:c r="L257" s="45" t="str">
        <x:v>Nine-month acquisitions 852 and buybacks 891 also reduce cash; cash decline is not humanoid operating burn.
Robot contract manufacturing revenue and margin are not separately reported in these results.</x:v>
      </x:c>
      <x:c r="M257" s="45" t="str">
        <x:v>Jabil.balance_sheet_date</x:v>
      </x:c>
    </x:row>
    <x:row r="258" ht="24" hidden="0" customHeight="1">
      <x:c r="A258" s="2"/>
      <x:c r="B258" s="2"/>
      <x:c r="C258" s="45" t="str">
        <x:v>Jabil</x:v>
      </x:c>
      <x:c r="D258" s="46" t="str">
        <x:v>JBL</x:v>
      </x:c>
      <x:c r="E258" s="45" t="str">
        <x:v>USD</x:v>
      </x:c>
      <x:c r="F258" s="45" t="str">
        <x:v>FY2026 Q3, 3 months</x:v>
      </x:c>
      <x:c r="G258" s="45" t="str">
        <x:v>monetary_unit</x:v>
      </x:c>
      <x:c r="H258" s="45" t="str">
        <x:v>million</x:v>
      </x:c>
      <x:c r="I258" s="45" t="str">
        <x:v>원문 범위</x:v>
      </x:c>
      <x:c r="J258" s="49" t="n">
        <x:v>46282</x:v>
      </x:c>
      <x:c r="K258" s="45" t="str">
        <x:v>https://investors.jabil.com/news/news-details/2026/Jabil-Posts-Third-Quarter-Results/default.aspx
https://www.google.com/finance/quote/JBL:NYSE</x:v>
      </x:c>
      <x:c r="L258" s="45" t="str">
        <x:v>Nine-month acquisitions 852 and buybacks 891 also reduce cash; cash decline is not humanoid operating burn.
Robot contract manufacturing revenue and margin are not separately reported in these results.</x:v>
      </x:c>
      <x:c r="M258" s="45" t="str">
        <x:v>Jabil.monetary_unit</x:v>
      </x:c>
    </x:row>
    <x:row r="259" ht="24" hidden="0" customHeight="1">
      <x:c r="A259" s="2"/>
      <x:c r="B259" s="2"/>
      <x:c r="C259" s="45" t="str">
        <x:v>Jabil</x:v>
      </x:c>
      <x:c r="D259" s="46" t="str">
        <x:v>JBL</x:v>
      </x:c>
      <x:c r="E259" s="45" t="str">
        <x:v>USD</x:v>
      </x:c>
      <x:c r="F259" s="45" t="str">
        <x:v>FY2026 Q3, 3 months</x:v>
      </x:c>
      <x:c r="G259" s="45" t="str">
        <x:v>영업이익률</x:v>
      </x:c>
      <x:c r="H259" s="51" t="n">
        <x:v>5.085133127642555</x:v>
      </x:c>
      <x:c r="I259" s="45" t="str">
        <x:v>%</x:v>
      </x:c>
      <x:c r="J259" s="49" t="n">
        <x:v>46282</x:v>
      </x:c>
      <x:c r="K259" s="45" t="str">
        <x:v>https://investors.jabil.com/news/news-details/2026/Jabil-Posts-Third-Quarter-Results/default.aspx
https://www.google.com/finance/quote/JBL:NYSE</x:v>
      </x:c>
      <x:c r="L259" s="45" t="str">
        <x:v>Nine-month acquisitions 852 and buybacks 891 also reduce cash; cash decline is not humanoid operating burn.
Robot contract manufacturing revenue and margin are not separately reported in these results.</x:v>
      </x:c>
      <x:c r="M259" s="45" t="str">
        <x:v>Jabil.operating_margin_percent</x:v>
      </x:c>
    </x:row>
    <x:row r="260" ht="24" hidden="0" customHeight="1">
      <x:c r="A260" s="2"/>
      <x:c r="B260" s="2"/>
      <x:c r="C260" s="45" t="str">
        <x:v>Jabil</x:v>
      </x:c>
      <x:c r="D260" s="46" t="str">
        <x:v>JBL</x:v>
      </x:c>
      <x:c r="E260" s="45" t="str">
        <x:v>USD</x:v>
      </x:c>
      <x:c r="F260" s="45" t="str">
        <x:v>FY2026 Q3, 3 months</x:v>
      </x:c>
      <x:c r="G260" s="45" t="str">
        <x:v>휴머노이드 매출 공개 범위</x:v>
      </x:c>
      <x:c r="H260" s="45" t="str">
        <x:v>not_separately_disclosed</x:v>
      </x:c>
      <x:c r="I260" s="45" t="str">
        <x:v>원문 범위</x:v>
      </x:c>
      <x:c r="J260" s="49" t="n">
        <x:v>46282</x:v>
      </x:c>
      <x:c r="K260" s="45" t="str">
        <x:v>https://investors.jabil.com/news/news-details/2026/Jabil-Posts-Third-Quarter-Results/default.aspx
https://www.google.com/finance/quote/JBL:NYSE</x:v>
      </x:c>
      <x:c r="L260" s="45" t="str">
        <x:v>Nine-month acquisitions 852 and buybacks 891 also reduce cash; cash decline is not humanoid operating burn.
Robot contract manufacturing revenue and margin are not separately reported in these results.</x:v>
      </x:c>
      <x:c r="M260" s="45" t="str">
        <x:v>Jabil.humanoid_revenue_disclosed</x:v>
      </x:c>
    </x:row>
    <x:row r="261" ht="24" hidden="0" customHeight="1">
      <x:c r="A261" s="2"/>
      <x:c r="B261" s="2"/>
      <x:c r="C261" s="45" t="str">
        <x:v>Jabil</x:v>
      </x:c>
      <x:c r="D261" s="46" t="str">
        <x:v>JBL</x:v>
      </x:c>
      <x:c r="E261" s="45" t="str">
        <x:v>USD</x:v>
      </x:c>
      <x:c r="F261" s="45" t="str">
        <x:v>FY2026 Q3, 3 months</x:v>
      </x:c>
      <x:c r="G261" s="45" t="str">
        <x:v>해석 조건·한계</x:v>
      </x:c>
      <x:c r="H261" s="45" t="str">
        <x:v>Nine-month acquisitions 852 and buybacks 891 also reduce cash; cash decline is not humanoid operating burn.
Robot contract manufacturing revenue and margin are not separately reported in these results.</x:v>
      </x:c>
      <x:c r="I261" s="45" t="str">
        <x:v>원문 범위</x:v>
      </x:c>
      <x:c r="J261" s="49" t="n">
        <x:v>46282</x:v>
      </x:c>
      <x:c r="K261" s="45" t="str">
        <x:v>https://investors.jabil.com/news/news-details/2026/Jabil-Posts-Third-Quarter-Results/default.aspx
https://www.google.com/finance/quote/JBL:NYSE</x:v>
      </x:c>
      <x:c r="L261" s="45" t="str">
        <x:v>Nine-month acquisitions 852 and buybacks 891 also reduce cash; cash decline is not humanoid operating burn.
Robot contract manufacturing revenue and margin are not separately reported in these results.</x:v>
      </x:c>
      <x:c r="M261" s="45" t="str">
        <x:v>Jabil.notes</x:v>
      </x:c>
    </x:row>
    <x:row r="262" ht="24" hidden="0" customHeight="1">
      <x:c r="A262" s="2"/>
      <x:c r="B262" s="2"/>
      <x:c r="C262" s="45" t="str">
        <x:v>Jabil</x:v>
      </x:c>
      <x:c r="D262" s="46" t="str">
        <x:v>JBL</x:v>
      </x:c>
      <x:c r="E262" s="45" t="str">
        <x:v>USD</x:v>
      </x:c>
      <x:c r="F262" s="45" t="str">
        <x:v>FY2026 Q3, 3 months</x:v>
      </x:c>
      <x:c r="G262" s="45" t="str">
        <x:v>현금 범위</x:v>
      </x:c>
      <x:c r="H262" s="45" t="str">
        <x:v>cash and cash equivalents</x:v>
      </x:c>
      <x:c r="I262" s="45" t="str">
        <x:v>원문 범위</x:v>
      </x:c>
      <x:c r="J262" s="49" t="n">
        <x:v>46282</x:v>
      </x:c>
      <x:c r="K262" s="45" t="str">
        <x:v>https://investors.jabil.com/news/news-details/2026/Jabil-Posts-Third-Quarter-Results/default.aspx
https://www.google.com/finance/quote/JBL:NYSE</x:v>
      </x:c>
      <x:c r="L262" s="45" t="str">
        <x:v>Nine-month acquisitions 852 and buybacks 891 also reduce cash; cash decline is not humanoid operating burn.
Robot contract manufacturing revenue and margin are not separately reported in these results.</x:v>
      </x:c>
      <x:c r="M262" s="45" t="str">
        <x:v>Jabil.cash_scope</x:v>
      </x:c>
    </x:row>
    <x:row r="263" ht="24" hidden="0" customHeight="1">
      <x:c r="A263" s="2"/>
      <x:c r="B263" s="2"/>
      <x:c r="C263" s="45" t="str">
        <x:v>Jabil</x:v>
      </x:c>
      <x:c r="D263" s="46" t="str">
        <x:v>JBL</x:v>
      </x:c>
      <x:c r="E263" s="45" t="str">
        <x:v>USD</x:v>
      </x:c>
      <x:c r="F263" s="45" t="str">
        <x:v>FY2026 Q3, 3 months</x:v>
      </x:c>
      <x:c r="G263" s="45" t="str">
        <x:v>차입금 범위</x:v>
      </x:c>
      <x:c r="H263" s="45" t="str">
        <x:v>current 499 plus noncurrent 2879</x:v>
      </x:c>
      <x:c r="I263" s="45" t="str">
        <x:v>원문 범위</x:v>
      </x:c>
      <x:c r="J263" s="49" t="n">
        <x:v>46282</x:v>
      </x:c>
      <x:c r="K263" s="45" t="str">
        <x:v>https://investors.jabil.com/news/news-details/2026/Jabil-Posts-Third-Quarter-Results/default.aspx
https://www.google.com/finance/quote/JBL:NYSE</x:v>
      </x:c>
      <x:c r="L263" s="45" t="str">
        <x:v>Nine-month acquisitions 852 and buybacks 891 also reduce cash; cash decline is not humanoid operating burn.
Robot contract manufacturing revenue and margin are not separately reported in these results.</x:v>
      </x:c>
      <x:c r="M263" s="45" t="str">
        <x:v>Jabil.debt_scope</x:v>
      </x:c>
    </x:row>
    <x:row r="264" ht="24" hidden="0" customHeight="1">
      <x:c r="A264" s="2"/>
      <x:c r="B264" s="2"/>
      <x:c r="C264" s="45" t="str">
        <x:v>Jabil</x:v>
      </x:c>
      <x:c r="D264" s="46" t="str">
        <x:v>JBL</x:v>
      </x:c>
      <x:c r="E264" s="45" t="str">
        <x:v>USD</x:v>
      </x:c>
      <x:c r="F264" s="45" t="str">
        <x:v>FY2026 Q3, 3 months</x:v>
      </x:c>
      <x:c r="G264" s="45" t="str">
        <x:v>순이익</x:v>
      </x:c>
      <x:c r="H264" s="51" t="n">
        <x:v>275</x:v>
      </x:c>
      <x:c r="I264" s="45" t="str">
        <x:v>백만</x:v>
      </x:c>
      <x:c r="J264" s="49" t="n">
        <x:v>46282</x:v>
      </x:c>
      <x:c r="K264" s="45" t="str">
        <x:v>https://investors.jabil.com/news/news-details/2026/Jabil-Posts-Third-Quarter-Results/default.aspx
https://www.google.com/finance/quote/JBL:NYSE</x:v>
      </x:c>
      <x:c r="L264" s="45" t="str">
        <x:v>Nine-month acquisitions 852 and buybacks 891 also reduce cash; cash decline is not humanoid operating burn.
Robot contract manufacturing revenue and margin are not separately reported in these results.</x:v>
      </x:c>
      <x:c r="M264" s="45" t="str">
        <x:v>Jabil.net_income</x:v>
      </x:c>
    </x:row>
    <x:row r="265" ht="24" hidden="0" customHeight="1">
      <x:c r="A265" s="2"/>
      <x:c r="B265" s="2"/>
      <x:c r="C265" s="45" t="str">
        <x:v>Jabil</x:v>
      </x:c>
      <x:c r="D265" s="46" t="str">
        <x:v>JBL</x:v>
      </x:c>
      <x:c r="E265" s="45" t="str">
        <x:v>USD</x:v>
      </x:c>
      <x:c r="F265" s="45" t="str">
        <x:v>FY2026 Q3, 3 months</x:v>
      </x:c>
      <x:c r="G265" s="45" t="str">
        <x:v>현금흐름 기간</x:v>
      </x:c>
      <x:c r="H265" s="45" t="str">
        <x:v>FY2026 first 9 months, NOT Q3 only</x:v>
      </x:c>
      <x:c r="I265" s="45" t="str">
        <x:v>원문 범위</x:v>
      </x:c>
      <x:c r="J265" s="49" t="n">
        <x:v>46282</x:v>
      </x:c>
      <x:c r="K265" s="45" t="str">
        <x:v>https://investors.jabil.com/news/news-details/2026/Jabil-Posts-Third-Quarter-Results/default.aspx
https://www.google.com/finance/quote/JBL:NYSE</x:v>
      </x:c>
      <x:c r="L265" s="45" t="str">
        <x:v>Nine-month acquisitions 852 and buybacks 891 also reduce cash; cash decline is not humanoid operating burn.
Robot contract manufacturing revenue and margin are not separately reported in these results.</x:v>
      </x:c>
      <x:c r="M265" s="45" t="str">
        <x:v>Jabil.cash_flow_period</x:v>
      </x:c>
    </x:row>
    <x:row r="266" ht="24" hidden="0" customHeight="1">
      <x:c r="A266" s="2"/>
      <x:c r="B266" s="2"/>
      <x:c r="C266" s="45" t="str">
        <x:v>Jabil</x:v>
      </x:c>
      <x:c r="D266" s="46" t="str">
        <x:v>JBL</x:v>
      </x:c>
      <x:c r="E266" s="45" t="str">
        <x:v>USD</x:v>
      </x:c>
      <x:c r="F266" s="45" t="str">
        <x:v>FY2026 Q3, 3 months</x:v>
      </x:c>
      <x:c r="G266" s="45" t="str">
        <x:v>pp_and_e_sale_proceeds</x:v>
      </x:c>
      <x:c r="H266" s="51" t="n">
        <x:v>104</x:v>
      </x:c>
      <x:c r="I266" s="45" t="str">
        <x:v>백만</x:v>
      </x:c>
      <x:c r="J266" s="49" t="n">
        <x:v>46282</x:v>
      </x:c>
      <x:c r="K266" s="45" t="str">
        <x:v>https://investors.jabil.com/news/news-details/2026/Jabil-Posts-Third-Quarter-Results/default.aspx
https://www.google.com/finance/quote/JBL:NYSE</x:v>
      </x:c>
      <x:c r="L266" s="45" t="str">
        <x:v>Nine-month acquisitions 852 and buybacks 891 also reduce cash; cash decline is not humanoid operating burn.
Robot contract manufacturing revenue and margin are not separately reported in these results.</x:v>
      </x:c>
      <x:c r="M266" s="45" t="str">
        <x:v>Jabil.pp_and_e_sale_proceeds</x:v>
      </x:c>
    </x:row>
    <x:row r="267" ht="24" hidden="0" customHeight="1">
      <x:c r="A267" s="2"/>
      <x:c r="B267" s="2"/>
      <x:c r="C267" s="45" t="str">
        <x:v>Jabil</x:v>
      </x:c>
      <x:c r="D267" s="46" t="str">
        <x:v>JBL</x:v>
      </x:c>
      <x:c r="E267" s="45" t="str">
        <x:v>USD</x:v>
      </x:c>
      <x:c r="F267" s="45" t="str">
        <x:v>FY2026 Q3, 3 months</x:v>
      </x:c>
      <x:c r="G267" s="45" t="str">
        <x:v>잉여현금흐름 정의</x:v>
      </x:c>
      <x:c r="H267" s="45" t="str">
        <x:v>company adjusted FCF = CFO - PP&amp;E purchases + PP&amp;E disposal proceeds</x:v>
      </x:c>
      <x:c r="I267" s="45" t="str">
        <x:v>원문 범위</x:v>
      </x:c>
      <x:c r="J267" s="49" t="n">
        <x:v>46282</x:v>
      </x:c>
      <x:c r="K267" s="45" t="str">
        <x:v>https://investors.jabil.com/news/news-details/2026/Jabil-Posts-Third-Quarter-Results/default.aspx
https://www.google.com/finance/quote/JBL:NYSE</x:v>
      </x:c>
      <x:c r="L267" s="45" t="str">
        <x:v>Nine-month acquisitions 852 and buybacks 891 also reduce cash; cash decline is not humanoid operating burn.
Robot contract manufacturing revenue and margin are not separately reported in these results.</x:v>
      </x:c>
      <x:c r="M267" s="45" t="str">
        <x:v>Jabil.free_cash_flow_definition</x:v>
      </x:c>
    </x:row>
    <x:row r="268" ht="24" hidden="0" customHeight="1">
      <x:c r="A268" s="2"/>
      <x:c r="B268" s="2"/>
      <x:c r="C268" s="45" t="str">
        <x:v>Jabil</x:v>
      </x:c>
      <x:c r="D268" s="46" t="str">
        <x:v>JBL</x:v>
      </x:c>
      <x:c r="E268" s="45" t="str">
        <x:v>USD</x:v>
      </x:c>
      <x:c r="F268" s="45" t="str">
        <x:v>2026-09-16 US close</x:v>
      </x:c>
      <x:c r="G268" s="45" t="str">
        <x:v>시가총액 확인 범위</x:v>
      </x:c>
      <x:c r="H268" s="45" t="str">
        <x:v>Google Finance reported rounded market cap; not finance tool's EPS-average-share estimate</x:v>
      </x:c>
      <x:c r="I268" s="45" t="str">
        <x:v>원문 범위</x:v>
      </x:c>
      <x:c r="J268" s="49" t="n">
        <x:v>46282</x:v>
      </x:c>
      <x:c r="K268" s="45" t="str">
        <x:v>https://investors.jabil.com/news/news-details/2026/Jabil-Posts-Third-Quarter-Results/default.aspx
https://www.google.com/finance/quote/JBL:NYSE</x:v>
      </x:c>
      <x:c r="L268" s="45" t="str">
        <x:v>Nine-month acquisitions 852 and buybacks 891 also reduce cash; cash decline is not humanoid operating burn.
Robot contract manufacturing revenue and margin are not separately reported in these results.</x:v>
      </x:c>
      <x:c r="M268" s="45" t="str">
        <x:v>Jabil.market_cap_status</x:v>
      </x:c>
    </x:row>
    <x:row r="269" ht="60" hidden="0" customHeight="1">
      <x:c r="A269" s="2"/>
      <x:c r="B269" s="2"/>
      <x:c r="C269" s="45" t="str">
        <x:v>Alphabet</x:v>
      </x:c>
      <x:c r="D269" s="46" t="str">
        <x:v>GOOGL / GOOG</x:v>
      </x:c>
      <x:c r="E269" s="45" t="str">
        <x:v>USD</x:v>
      </x:c>
      <x:c r="F269" s="45" t="str">
        <x:v>2026-09-16 US close, Class A</x:v>
      </x:c>
      <x:c r="G269" s="45" t="str">
        <x:v>주가</x:v>
      </x:c>
      <x:c r="H269" s="51" t="n">
        <x:v>342.87</x:v>
      </x:c>
      <x:c r="I269" s="45" t="str">
        <x:v>통화/주</x:v>
      </x:c>
      <x:c r="J269" s="49" t="n">
        <x:v>46282</x:v>
      </x:c>
      <x:c r="K269" s="45" t="str">
        <x:v>https://s206.q4cdn.com/479360582/files/doc_financials/2026/q2/2026q2-alphabet-earnings-release.pdf
https://www.google.com/finance/quote/GOOGL:NASDAQ</x:v>
      </x:c>
      <x:c r="L269"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69" s="45" t="str">
        <x:v>Alphabet.price</x:v>
      </x:c>
    </x:row>
    <x:row r="270" ht="60" hidden="0" customHeight="1">
      <x:c r="A270" s="2"/>
      <x:c r="B270" s="2"/>
      <x:c r="C270" s="45" t="str">
        <x:v>Alphabet</x:v>
      </x:c>
      <x:c r="D270" s="46" t="str">
        <x:v>GOOGL / GOOG</x:v>
      </x:c>
      <x:c r="E270" s="45" t="str">
        <x:v>USD</x:v>
      </x:c>
      <x:c r="F270" s="45" t="str">
        <x:v>2026-09-16 US close, Class A</x:v>
      </x:c>
      <x:c r="G270" s="45" t="str">
        <x:v>시가총액</x:v>
      </x:c>
      <x:c r="H270" s="51" t="n">
        <x:v>4170000</x:v>
      </x:c>
      <x:c r="I270" s="45" t="str">
        <x:v>백만</x:v>
      </x:c>
      <x:c r="J270" s="49" t="n">
        <x:v>46282</x:v>
      </x:c>
      <x:c r="K270" s="45" t="str">
        <x:v>https://s206.q4cdn.com/479360582/files/doc_financials/2026/q2/2026q2-alphabet-earnings-release.pdf
https://www.google.com/finance/quote/GOOGL:NASDAQ</x:v>
      </x:c>
      <x:c r="L270"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0" s="45" t="str">
        <x:v>Alphabet.market_cap</x:v>
      </x:c>
    </x:row>
    <x:row r="271" ht="60" hidden="0" customHeight="1">
      <x:c r="A271" s="2"/>
      <x:c r="B271" s="2"/>
      <x:c r="C271" s="45" t="str">
        <x:v>Alphabet</x:v>
      </x:c>
      <x:c r="D271" s="46" t="str">
        <x:v>GOOGL / GOOG</x:v>
      </x:c>
      <x:c r="E271" s="45" t="str">
        <x:v>USD</x:v>
      </x:c>
      <x:c r="F271" s="45" t="str">
        <x:v>2026 Q2, 3 months</x:v>
      </x:c>
      <x:c r="G271" s="45" t="str">
        <x:v>매출</x:v>
      </x:c>
      <x:c r="H271" s="51" t="n">
        <x:v>119796</x:v>
      </x:c>
      <x:c r="I271" s="45" t="str">
        <x:v>백만</x:v>
      </x:c>
      <x:c r="J271" s="49" t="n">
        <x:v>46282</x:v>
      </x:c>
      <x:c r="K271" s="45" t="str">
        <x:v>https://s206.q4cdn.com/479360582/files/doc_financials/2026/q2/2026q2-alphabet-earnings-release.pdf
https://www.google.com/finance/quote/GOOGL:NASDAQ</x:v>
      </x:c>
      <x:c r="L271"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1" s="45" t="str">
        <x:v>Alphabet.revenue</x:v>
      </x:c>
    </x:row>
    <x:row r="272" ht="60" hidden="0" customHeight="1">
      <x:c r="A272" s="2"/>
      <x:c r="B272" s="2"/>
      <x:c r="C272" s="45" t="str">
        <x:v>Alphabet</x:v>
      </x:c>
      <x:c r="D272" s="46" t="str">
        <x:v>GOOGL / GOOG</x:v>
      </x:c>
      <x:c r="E272" s="45" t="str">
        <x:v>USD</x:v>
      </x:c>
      <x:c r="F272" s="45" t="str">
        <x:v>2026 Q2, 3 months</x:v>
      </x:c>
      <x:c r="G272" s="45" t="str">
        <x:v>영업이익</x:v>
      </x:c>
      <x:c r="H272" s="51" t="n">
        <x:v>40770</x:v>
      </x:c>
      <x:c r="I272" s="45" t="str">
        <x:v>백만</x:v>
      </x:c>
      <x:c r="J272" s="49" t="n">
        <x:v>46282</x:v>
      </x:c>
      <x:c r="K272" s="45" t="str">
        <x:v>https://s206.q4cdn.com/479360582/files/doc_financials/2026/q2/2026q2-alphabet-earnings-release.pdf
https://www.google.com/finance/quote/GOOGL:NASDAQ</x:v>
      </x:c>
      <x:c r="L272"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2" s="45" t="str">
        <x:v>Alphabet.operating_profit</x:v>
      </x:c>
    </x:row>
    <x:row r="273" ht="60" hidden="0" customHeight="1">
      <x:c r="A273" s="2"/>
      <x:c r="B273" s="2"/>
      <x:c r="C273" s="45" t="str">
        <x:v>Alphabet</x:v>
      </x:c>
      <x:c r="D273" s="46" t="str">
        <x:v>GOOGL / GOOG</x:v>
      </x:c>
      <x:c r="E273" s="45" t="str">
        <x:v>USD</x:v>
      </x:c>
      <x:c r="F273" s="45" t="str">
        <x:v>2026-06-30</x:v>
      </x:c>
      <x:c r="G273" s="45" t="str">
        <x:v>현금</x:v>
      </x:c>
      <x:c r="H273" s="51" t="n">
        <x:v>55911</x:v>
      </x:c>
      <x:c r="I273" s="45" t="str">
        <x:v>백만</x:v>
      </x:c>
      <x:c r="J273" s="49" t="n">
        <x:v>46282</x:v>
      </x:c>
      <x:c r="K273" s="45" t="str">
        <x:v>https://s206.q4cdn.com/479360582/files/doc_financials/2026/q2/2026q2-alphabet-earnings-release.pdf
https://www.google.com/finance/quote/GOOGL:NASDAQ</x:v>
      </x:c>
      <x:c r="L273"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3" s="45" t="str">
        <x:v>Alphabet.cash</x:v>
      </x:c>
    </x:row>
    <x:row r="274" ht="60" hidden="0" customHeight="1">
      <x:c r="A274" s="2"/>
      <x:c r="B274" s="2"/>
      <x:c r="C274" s="45" t="str">
        <x:v>Alphabet</x:v>
      </x:c>
      <x:c r="D274" s="46" t="str">
        <x:v>GOOGL / GOOG</x:v>
      </x:c>
      <x:c r="E274" s="45" t="str">
        <x:v>USD</x:v>
      </x:c>
      <x:c r="F274" s="45" t="str">
        <x:v>2026-06-30</x:v>
      </x:c>
      <x:c r="G274" s="45" t="str">
        <x:v>차입금</x:v>
      </x:c>
      <x:c r="H274" s="51" t="n">
        <x:v>98165</x:v>
      </x:c>
      <x:c r="I274" s="45" t="str">
        <x:v>백만</x:v>
      </x:c>
      <x:c r="J274" s="49" t="n">
        <x:v>46282</x:v>
      </x:c>
      <x:c r="K274" s="45" t="str">
        <x:v>https://s206.q4cdn.com/479360582/files/doc_financials/2026/q2/2026q2-alphabet-earnings-release.pdf
https://www.google.com/finance/quote/GOOGL:NASDAQ</x:v>
      </x:c>
      <x:c r="L274"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4" s="45" t="str">
        <x:v>Alphabet.debt</x:v>
      </x:c>
    </x:row>
    <x:row r="275" ht="60" hidden="0" customHeight="1">
      <x:c r="A275" s="2"/>
      <x:c r="B275" s="2"/>
      <x:c r="C275" s="45" t="str">
        <x:v>Alphabet</x:v>
      </x:c>
      <x:c r="D275" s="46" t="str">
        <x:v>GOOGL / GOOG</x:v>
      </x:c>
      <x:c r="E275" s="45" t="str">
        <x:v>USD</x:v>
      </x:c>
      <x:c r="F275" s="45" t="str">
        <x:v>2026 Q2</x:v>
      </x:c>
      <x:c r="G275" s="45" t="str">
        <x:v>영업현금흐름</x:v>
      </x:c>
      <x:c r="H275" s="51" t="n">
        <x:v>39069</x:v>
      </x:c>
      <x:c r="I275" s="45" t="str">
        <x:v>백만</x:v>
      </x:c>
      <x:c r="J275" s="49" t="n">
        <x:v>46282</x:v>
      </x:c>
      <x:c r="K275" s="45" t="str">
        <x:v>https://s206.q4cdn.com/479360582/files/doc_financials/2026/q2/2026q2-alphabet-earnings-release.pdf
https://www.google.com/finance/quote/GOOGL:NASDAQ</x:v>
      </x:c>
      <x:c r="L275"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5" s="45" t="str">
        <x:v>Alphabet.operating_cash_flow</x:v>
      </x:c>
    </x:row>
    <x:row r="276" ht="60" hidden="0" customHeight="1">
      <x:c r="A276" s="2"/>
      <x:c r="B276" s="2"/>
      <x:c r="C276" s="45" t="str">
        <x:v>Alphabet</x:v>
      </x:c>
      <x:c r="D276" s="46" t="str">
        <x:v>GOOGL / GOOG</x:v>
      </x:c>
      <x:c r="E276" s="45" t="str">
        <x:v>USD</x:v>
      </x:c>
      <x:c r="F276" s="45" t="str">
        <x:v>2026 Q2</x:v>
      </x:c>
      <x:c r="G276" s="45" t="str">
        <x:v>설비·무형자산 투자</x:v>
      </x:c>
      <x:c r="H276" s="51" t="n">
        <x:v>44924</x:v>
      </x:c>
      <x:c r="I276" s="45" t="str">
        <x:v>백만</x:v>
      </x:c>
      <x:c r="J276" s="49" t="n">
        <x:v>46282</x:v>
      </x:c>
      <x:c r="K276" s="45" t="str">
        <x:v>https://s206.q4cdn.com/479360582/files/doc_financials/2026/q2/2026q2-alphabet-earnings-release.pdf
https://www.google.com/finance/quote/GOOGL:NASDAQ</x:v>
      </x:c>
      <x:c r="L276"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6" s="45" t="str">
        <x:v>Alphabet.capex</x:v>
      </x:c>
    </x:row>
    <x:row r="277" ht="60" hidden="0" customHeight="1">
      <x:c r="A277" s="2"/>
      <x:c r="B277" s="2"/>
      <x:c r="C277" s="45" t="str">
        <x:v>Alphabet</x:v>
      </x:c>
      <x:c r="D277" s="46" t="str">
        <x:v>GOOGL / GOOG</x:v>
      </x:c>
      <x:c r="E277" s="45" t="str">
        <x:v>USD</x:v>
      </x:c>
      <x:c r="F277" s="45" t="str">
        <x:v>2026 Q2</x:v>
      </x:c>
      <x:c r="G277" s="45" t="str">
        <x:v>잉여현금흐름</x:v>
      </x:c>
      <x:c r="H277" s="51" t="n">
        <x:v>-5855</x:v>
      </x:c>
      <x:c r="I277" s="45" t="str">
        <x:v>백만</x:v>
      </x:c>
      <x:c r="J277" s="49" t="n">
        <x:v>46282</x:v>
      </x:c>
      <x:c r="K277" s="45" t="str">
        <x:v>https://s206.q4cdn.com/479360582/files/doc_financials/2026/q2/2026q2-alphabet-earnings-release.pdf
https://www.google.com/finance/quote/GOOGL:NASDAQ</x:v>
      </x:c>
      <x:c r="L277"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7" s="45" t="str">
        <x:v>Alphabet.free_cash_flow</x:v>
      </x:c>
    </x:row>
    <x:row r="278" ht="60" hidden="0" customHeight="1">
      <x:c r="A278" s="2"/>
      <x:c r="B278" s="2"/>
      <x:c r="C278" s="45" t="str">
        <x:v>Alphabet</x:v>
      </x:c>
      <x:c r="D278" s="46" t="str">
        <x:v>GOOGL / GOOG</x:v>
      </x:c>
      <x:c r="E278" s="45" t="str">
        <x:v>USD</x:v>
      </x:c>
      <x:c r="F278" s="45" t="str">
        <x:v>2026 Q2, 3 months</x:v>
      </x:c>
      <x:c r="G278" s="45" t="str">
        <x:v>exchange</x:v>
      </x:c>
      <x:c r="H278" s="45" t="str">
        <x:v>Nasdaq</x:v>
      </x:c>
      <x:c r="I278" s="45" t="str">
        <x:v>원문 범위</x:v>
      </x:c>
      <x:c r="J278" s="49" t="n">
        <x:v>46282</x:v>
      </x:c>
      <x:c r="K278" s="45" t="str">
        <x:v>https://s206.q4cdn.com/479360582/files/doc_financials/2026/q2/2026q2-alphabet-earnings-release.pdf
https://www.google.com/finance/quote/GOOGL:NASDAQ</x:v>
      </x:c>
      <x:c r="L278"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8" s="45" t="str">
        <x:v>Alphabet.exchange</x:v>
      </x:c>
    </x:row>
    <x:row r="279" ht="60" hidden="0" customHeight="1">
      <x:c r="A279" s="2"/>
      <x:c r="B279" s="2"/>
      <x:c r="C279" s="45" t="str">
        <x:v>Alphabet</x:v>
      </x:c>
      <x:c r="D279" s="46" t="str">
        <x:v>GOOGL / GOOG</x:v>
      </x:c>
      <x:c r="E279" s="45" t="str">
        <x:v>USD</x:v>
      </x:c>
      <x:c r="F279" s="45" t="str">
        <x:v>2026 Q2, 3 months</x:v>
      </x:c>
      <x:c r="G279" s="45" t="str">
        <x:v>listed_status</x:v>
      </x:c>
      <x:c r="H279" s="45" t="str">
        <x:v>listed_verified</x:v>
      </x:c>
      <x:c r="I279" s="45" t="str">
        <x:v>원문 범위</x:v>
      </x:c>
      <x:c r="J279" s="49" t="n">
        <x:v>46282</x:v>
      </x:c>
      <x:c r="K279" s="45" t="str">
        <x:v>https://s206.q4cdn.com/479360582/files/doc_financials/2026/q2/2026q2-alphabet-earnings-release.pdf
https://www.google.com/finance/quote/GOOGL:NASDAQ</x:v>
      </x:c>
      <x:c r="L279"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79" s="45" t="str">
        <x:v>Alphabet.listed_status</x:v>
      </x:c>
    </x:row>
    <x:row r="280" ht="60" hidden="0" customHeight="1">
      <x:c r="A280" s="2"/>
      <x:c r="B280" s="2"/>
      <x:c r="C280" s="45" t="str">
        <x:v>Alphabet</x:v>
      </x:c>
      <x:c r="D280" s="46" t="str">
        <x:v>GOOGL / GOOG</x:v>
      </x:c>
      <x:c r="E280" s="45" t="str">
        <x:v>USD</x:v>
      </x:c>
      <x:c r="F280" s="45" t="str">
        <x:v>2026 Q2, 3 months</x:v>
      </x:c>
      <x:c r="G280" s="45" t="str">
        <x:v>as_of</x:v>
      </x:c>
      <x:c r="H280" s="45" t="str">
        <x:v>2026-09-17</x:v>
      </x:c>
      <x:c r="I280" s="45" t="str">
        <x:v>원문 범위</x:v>
      </x:c>
      <x:c r="J280" s="49" t="n">
        <x:v>46282</x:v>
      </x:c>
      <x:c r="K280" s="45" t="str">
        <x:v>https://s206.q4cdn.com/479360582/files/doc_financials/2026/q2/2026q2-alphabet-earnings-release.pdf
https://www.google.com/finance/quote/GOOGL:NASDAQ</x:v>
      </x:c>
      <x:c r="L280"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0" s="45" t="str">
        <x:v>Alphabet.as_of</x:v>
      </x:c>
    </x:row>
    <x:row r="281" ht="60" hidden="0" customHeight="1">
      <x:c r="A281" s="2"/>
      <x:c r="B281" s="2"/>
      <x:c r="C281" s="45" t="str">
        <x:v>Alphabet</x:v>
      </x:c>
      <x:c r="D281" s="46" t="str">
        <x:v>GOOGL / GOOG</x:v>
      </x:c>
      <x:c r="E281" s="45" t="str">
        <x:v>USD</x:v>
      </x:c>
      <x:c r="F281" s="45" t="str">
        <x:v>2026 Q2, 3 months</x:v>
      </x:c>
      <x:c r="G281" s="45" t="str">
        <x:v>주가 관측 시점</x:v>
      </x:c>
      <x:c r="H281" s="45" t="str">
        <x:v>2026-09-16 US close, Class A</x:v>
      </x:c>
      <x:c r="I281" s="45" t="str">
        <x:v>원문 범위</x:v>
      </x:c>
      <x:c r="J281" s="49" t="n">
        <x:v>46282</x:v>
      </x:c>
      <x:c r="K281" s="45" t="str">
        <x:v>https://s206.q4cdn.com/479360582/files/doc_financials/2026/q2/2026q2-alphabet-earnings-release.pdf
https://www.google.com/finance/quote/GOOGL:NASDAQ</x:v>
      </x:c>
      <x:c r="L281"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1" s="45" t="str">
        <x:v>Alphabet.price_date</x:v>
      </x:c>
    </x:row>
    <x:row r="282" ht="60" hidden="0" customHeight="1">
      <x:c r="A282" s="2"/>
      <x:c r="B282" s="2"/>
      <x:c r="C282" s="45" t="str">
        <x:v>Alphabet</x:v>
      </x:c>
      <x:c r="D282" s="46" t="str">
        <x:v>GOOGL / GOOG</x:v>
      </x:c>
      <x:c r="E282" s="45" t="str">
        <x:v>USD</x:v>
      </x:c>
      <x:c r="F282" s="45" t="str">
        <x:v>2026 Q2, 3 months</x:v>
      </x:c>
      <x:c r="G282" s="45" t="str">
        <x:v>price_currency</x:v>
      </x:c>
      <x:c r="H282" s="45" t="str">
        <x:v>USD</x:v>
      </x:c>
      <x:c r="I282" s="45" t="str">
        <x:v>원문 범위</x:v>
      </x:c>
      <x:c r="J282" s="49" t="n">
        <x:v>46282</x:v>
      </x:c>
      <x:c r="K282" s="45" t="str">
        <x:v>https://s206.q4cdn.com/479360582/files/doc_financials/2026/q2/2026q2-alphabet-earnings-release.pdf
https://www.google.com/finance/quote/GOOGL:NASDAQ</x:v>
      </x:c>
      <x:c r="L282"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2" s="45" t="str">
        <x:v>Alphabet.price_currency</x:v>
      </x:c>
    </x:row>
    <x:row r="283" ht="60" hidden="0" customHeight="1">
      <x:c r="A283" s="2"/>
      <x:c r="B283" s="2"/>
      <x:c r="C283" s="45" t="str">
        <x:v>Alphabet</x:v>
      </x:c>
      <x:c r="D283" s="46" t="str">
        <x:v>GOOGL / GOOG</x:v>
      </x:c>
      <x:c r="E283" s="45" t="str">
        <x:v>USD</x:v>
      </x:c>
      <x:c r="F283" s="45" t="str">
        <x:v>2026-09-16 US close, Class A</x:v>
      </x:c>
      <x:c r="G283" s="45" t="str">
        <x:v>market_cap_currency</x:v>
      </x:c>
      <x:c r="H283" s="45" t="str">
        <x:v>USD</x:v>
      </x:c>
      <x:c r="I283" s="45" t="str">
        <x:v>원문 범위</x:v>
      </x:c>
      <x:c r="J283" s="49" t="n">
        <x:v>46282</x:v>
      </x:c>
      <x:c r="K283" s="45" t="str">
        <x:v>https://s206.q4cdn.com/479360582/files/doc_financials/2026/q2/2026q2-alphabet-earnings-release.pdf
https://www.google.com/finance/quote/GOOGL:NASDAQ</x:v>
      </x:c>
      <x:c r="L283"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3" s="45" t="str">
        <x:v>Alphabet.market_cap_currency</x:v>
      </x:c>
    </x:row>
    <x:row r="284" ht="60" hidden="0" customHeight="1">
      <x:c r="A284" s="2"/>
      <x:c r="B284" s="2"/>
      <x:c r="C284" s="45" t="str">
        <x:v>Alphabet</x:v>
      </x:c>
      <x:c r="D284" s="46" t="str">
        <x:v>GOOGL / GOOG</x:v>
      </x:c>
      <x:c r="E284" s="45" t="str">
        <x:v>USD</x:v>
      </x:c>
      <x:c r="F284" s="45" t="str">
        <x:v>2026-09-16 US close, Class A</x:v>
      </x:c>
      <x:c r="G284" s="45" t="str">
        <x:v>market_cap_unit</x:v>
      </x:c>
      <x:c r="H284" s="45" t="str">
        <x:v>million</x:v>
      </x:c>
      <x:c r="I284" s="45" t="str">
        <x:v>원문 범위</x:v>
      </x:c>
      <x:c r="J284" s="49" t="n">
        <x:v>46282</x:v>
      </x:c>
      <x:c r="K284" s="45" t="str">
        <x:v>https://s206.q4cdn.com/479360582/files/doc_financials/2026/q2/2026q2-alphabet-earnings-release.pdf
https://www.google.com/finance/quote/GOOGL:NASDAQ</x:v>
      </x:c>
      <x:c r="L284"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4" s="45" t="str">
        <x:v>Alphabet.market_cap_unit</x:v>
      </x:c>
    </x:row>
    <x:row r="285" ht="60" hidden="0" customHeight="1">
      <x:c r="A285" s="2"/>
      <x:c r="B285" s="2"/>
      <x:c r="C285" s="45" t="str">
        <x:v>Alphabet</x:v>
      </x:c>
      <x:c r="D285" s="46" t="str">
        <x:v>GOOGL / GOOG</x:v>
      </x:c>
      <x:c r="E285" s="45" t="str">
        <x:v>USD</x:v>
      </x:c>
      <x:c r="F285" s="45" t="str">
        <x:v>2026 Q2, 3 months</x:v>
      </x:c>
      <x:c r="G285" s="45" t="str">
        <x:v>실적 기간</x:v>
      </x:c>
      <x:c r="H285" s="45" t="str">
        <x:v>2026 Q2, 3 months</x:v>
      </x:c>
      <x:c r="I285" s="45" t="str">
        <x:v>원문 범위</x:v>
      </x:c>
      <x:c r="J285" s="49" t="n">
        <x:v>46282</x:v>
      </x:c>
      <x:c r="K285" s="45" t="str">
        <x:v>https://s206.q4cdn.com/479360582/files/doc_financials/2026/q2/2026q2-alphabet-earnings-release.pdf
https://www.google.com/finance/quote/GOOGL:NASDAQ</x:v>
      </x:c>
      <x:c r="L285"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5" s="45" t="str">
        <x:v>Alphabet.financial_period</x:v>
      </x:c>
    </x:row>
    <x:row r="286" ht="60" hidden="0" customHeight="1">
      <x:c r="A286" s="2"/>
      <x:c r="B286" s="2"/>
      <x:c r="C286" s="45" t="str">
        <x:v>Alphabet</x:v>
      </x:c>
      <x:c r="D286" s="46" t="str">
        <x:v>GOOGL / GOOG</x:v>
      </x:c>
      <x:c r="E286" s="45" t="str">
        <x:v>USD</x:v>
      </x:c>
      <x:c r="F286" s="45" t="str">
        <x:v>2026 Q2, 3 months</x:v>
      </x:c>
      <x:c r="G286" s="45" t="str">
        <x:v>재무상태표 날짜</x:v>
      </x:c>
      <x:c r="H286" s="45" t="str">
        <x:v>2026-06-30</x:v>
      </x:c>
      <x:c r="I286" s="45" t="str">
        <x:v>원문 범위</x:v>
      </x:c>
      <x:c r="J286" s="49" t="n">
        <x:v>46282</x:v>
      </x:c>
      <x:c r="K286" s="45" t="str">
        <x:v>https://s206.q4cdn.com/479360582/files/doc_financials/2026/q2/2026q2-alphabet-earnings-release.pdf
https://www.google.com/finance/quote/GOOGL:NASDAQ</x:v>
      </x:c>
      <x:c r="L286"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6" s="45" t="str">
        <x:v>Alphabet.balance_sheet_date</x:v>
      </x:c>
    </x:row>
    <x:row r="287" ht="60" hidden="0" customHeight="1">
      <x:c r="A287" s="2"/>
      <x:c r="B287" s="2"/>
      <x:c r="C287" s="45" t="str">
        <x:v>Alphabet</x:v>
      </x:c>
      <x:c r="D287" s="46" t="str">
        <x:v>GOOGL / GOOG</x:v>
      </x:c>
      <x:c r="E287" s="45" t="str">
        <x:v>USD</x:v>
      </x:c>
      <x:c r="F287" s="45" t="str">
        <x:v>2026 Q2, 3 months</x:v>
      </x:c>
      <x:c r="G287" s="45" t="str">
        <x:v>monetary_unit</x:v>
      </x:c>
      <x:c r="H287" s="45" t="str">
        <x:v>million</x:v>
      </x:c>
      <x:c r="I287" s="45" t="str">
        <x:v>원문 범위</x:v>
      </x:c>
      <x:c r="J287" s="49" t="n">
        <x:v>46282</x:v>
      </x:c>
      <x:c r="K287" s="45" t="str">
        <x:v>https://s206.q4cdn.com/479360582/files/doc_financials/2026/q2/2026q2-alphabet-earnings-release.pdf
https://www.google.com/finance/quote/GOOGL:NASDAQ</x:v>
      </x:c>
      <x:c r="L287"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7" s="45" t="str">
        <x:v>Alphabet.monetary_unit</x:v>
      </x:c>
    </x:row>
    <x:row r="288" ht="60" hidden="0" customHeight="1">
      <x:c r="A288" s="2"/>
      <x:c r="B288" s="2"/>
      <x:c r="C288" s="45" t="str">
        <x:v>Alphabet</x:v>
      </x:c>
      <x:c r="D288" s="46" t="str">
        <x:v>GOOGL / GOOG</x:v>
      </x:c>
      <x:c r="E288" s="45" t="str">
        <x:v>USD</x:v>
      </x:c>
      <x:c r="F288" s="45" t="str">
        <x:v>2026 Q2, 3 months</x:v>
      </x:c>
      <x:c r="G288" s="45" t="str">
        <x:v>영업이익률</x:v>
      </x:c>
      <x:c r="H288" s="51" t="n">
        <x:v>34.03285585495342</x:v>
      </x:c>
      <x:c r="I288" s="45" t="str">
        <x:v>%</x:v>
      </x:c>
      <x:c r="J288" s="49" t="n">
        <x:v>46282</x:v>
      </x:c>
      <x:c r="K288" s="45" t="str">
        <x:v>https://s206.q4cdn.com/479360582/files/doc_financials/2026/q2/2026q2-alphabet-earnings-release.pdf
https://www.google.com/finance/quote/GOOGL:NASDAQ</x:v>
      </x:c>
      <x:c r="L288"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8" s="45" t="str">
        <x:v>Alphabet.operating_margin_percent</x:v>
      </x:c>
    </x:row>
    <x:row r="289" ht="60" hidden="0" customHeight="1">
      <x:c r="A289" s="2"/>
      <x:c r="B289" s="2"/>
      <x:c r="C289" s="45" t="str">
        <x:v>Alphabet</x:v>
      </x:c>
      <x:c r="D289" s="46" t="str">
        <x:v>GOOGL / GOOG</x:v>
      </x:c>
      <x:c r="E289" s="45" t="str">
        <x:v>USD</x:v>
      </x:c>
      <x:c r="F289" s="45" t="str">
        <x:v>2026 Q2, 3 months</x:v>
      </x:c>
      <x:c r="G289" s="45" t="str">
        <x:v>휴머노이드 매출 공개 범위</x:v>
      </x:c>
      <x:c r="H289" s="45" t="str">
        <x:v>not_separately_disclosed</x:v>
      </x:c>
      <x:c r="I289" s="45" t="str">
        <x:v>원문 범위</x:v>
      </x:c>
      <x:c r="J289" s="49" t="n">
        <x:v>46282</x:v>
      </x:c>
      <x:c r="K289" s="45" t="str">
        <x:v>https://s206.q4cdn.com/479360582/files/doc_financials/2026/q2/2026q2-alphabet-earnings-release.pdf
https://www.google.com/finance/quote/GOOGL:NASDAQ</x:v>
      </x:c>
      <x:c r="L289"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89" s="45" t="str">
        <x:v>Alphabet.humanoid_revenue_disclosed</x:v>
      </x:c>
    </x:row>
    <x:row r="290" ht="60" hidden="0" customHeight="1">
      <x:c r="A290" s="2"/>
      <x:c r="B290" s="2"/>
      <x:c r="C290" s="45" t="str">
        <x:v>Alphabet</x:v>
      </x:c>
      <x:c r="D290" s="46" t="str">
        <x:v>GOOGL / GOOG</x:v>
      </x:c>
      <x:c r="E290" s="45" t="str">
        <x:v>USD</x:v>
      </x:c>
      <x:c r="F290" s="45" t="str">
        <x:v>2026 Q2, 3 months</x:v>
      </x:c>
      <x:c r="G290" s="45" t="str">
        <x:v>해석 조건·한계</x:v>
      </x:c>
      <x:c r="H290"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I290" s="45" t="str">
        <x:v>원문 범위</x:v>
      </x:c>
      <x:c r="J290" s="49" t="n">
        <x:v>46282</x:v>
      </x:c>
      <x:c r="K290" s="45" t="str">
        <x:v>https://s206.q4cdn.com/479360582/files/doc_financials/2026/q2/2026q2-alphabet-earnings-release.pdf
https://www.google.com/finance/quote/GOOGL:NASDAQ</x:v>
      </x:c>
      <x:c r="L290"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0" s="45" t="str">
        <x:v>Alphabet.notes</x:v>
      </x:c>
    </x:row>
    <x:row r="291" ht="60" hidden="0" customHeight="1">
      <x:c r="A291" s="2"/>
      <x:c r="B291" s="2"/>
      <x:c r="C291" s="45" t="str">
        <x:v>Alphabet</x:v>
      </x:c>
      <x:c r="D291" s="46" t="str">
        <x:v>GOOGL / GOOG</x:v>
      </x:c>
      <x:c r="E291" s="45" t="str">
        <x:v>USD</x:v>
      </x:c>
      <x:c r="F291" s="45" t="str">
        <x:v>2026 Q2, 3 months</x:v>
      </x:c>
      <x:c r="G291" s="45" t="str">
        <x:v>현금 범위</x:v>
      </x:c>
      <x:c r="H291" s="45" t="str">
        <x:v>cash and cash equivalents, excluding marketable securities 186563</x:v>
      </x:c>
      <x:c r="I291" s="45" t="str">
        <x:v>원문 범위</x:v>
      </x:c>
      <x:c r="J291" s="49" t="n">
        <x:v>46282</x:v>
      </x:c>
      <x:c r="K291" s="45" t="str">
        <x:v>https://s206.q4cdn.com/479360582/files/doc_financials/2026/q2/2026q2-alphabet-earnings-release.pdf
https://www.google.com/finance/quote/GOOGL:NASDAQ</x:v>
      </x:c>
      <x:c r="L291"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1" s="45" t="str">
        <x:v>Alphabet.cash_scope</x:v>
      </x:c>
    </x:row>
    <x:row r="292" ht="60" hidden="0" customHeight="1">
      <x:c r="A292" s="2"/>
      <x:c r="B292" s="2"/>
      <x:c r="C292" s="45" t="str">
        <x:v>Alphabet</x:v>
      </x:c>
      <x:c r="D292" s="46" t="str">
        <x:v>GOOGL / GOOG</x:v>
      </x:c>
      <x:c r="E292" s="45" t="str">
        <x:v>USD</x:v>
      </x:c>
      <x:c r="F292" s="45" t="str">
        <x:v>2026-06-30</x:v>
      </x:c>
      <x:c r="G292" s="45" t="str">
        <x:v>시장성 투자자산</x:v>
      </x:c>
      <x:c r="H292" s="51" t="n">
        <x:v>186563</x:v>
      </x:c>
      <x:c r="I292" s="45" t="str">
        <x:v>백만</x:v>
      </x:c>
      <x:c r="J292" s="49" t="n">
        <x:v>46282</x:v>
      </x:c>
      <x:c r="K292" s="45" t="str">
        <x:v>https://s206.q4cdn.com/479360582/files/doc_financials/2026/q2/2026q2-alphabet-earnings-release.pdf
https://www.google.com/finance/quote/GOOGL:NASDAQ</x:v>
      </x:c>
      <x:c r="L292"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2" s="45" t="str">
        <x:v>Alphabet.marketable_securities</x:v>
      </x:c>
    </x:row>
    <x:row r="293" ht="60" hidden="0" customHeight="1">
      <x:c r="A293" s="2"/>
      <x:c r="B293" s="2"/>
      <x:c r="C293" s="45" t="str">
        <x:v>Alphabet</x:v>
      </x:c>
      <x:c r="D293" s="46" t="str">
        <x:v>GOOGL / GOOG</x:v>
      </x:c>
      <x:c r="E293" s="45" t="str">
        <x:v>USD</x:v>
      </x:c>
      <x:c r="F293" s="45" t="str">
        <x:v>2026 Q2, 3 months</x:v>
      </x:c>
      <x:c r="G293" s="45" t="str">
        <x:v>차입금 범위</x:v>
      </x:c>
      <x:c r="H293" s="45" t="str">
        <x:v>long-term debt only; not asserted as total debt</x:v>
      </x:c>
      <x:c r="I293" s="45" t="str">
        <x:v>원문 범위</x:v>
      </x:c>
      <x:c r="J293" s="49" t="n">
        <x:v>46282</x:v>
      </x:c>
      <x:c r="K293" s="45" t="str">
        <x:v>https://s206.q4cdn.com/479360582/files/doc_financials/2026/q2/2026q2-alphabet-earnings-release.pdf
https://www.google.com/finance/quote/GOOGL:NASDAQ</x:v>
      </x:c>
      <x:c r="L293"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3" s="45" t="str">
        <x:v>Alphabet.debt_scope</x:v>
      </x:c>
    </x:row>
    <x:row r="294" ht="60" hidden="0" customHeight="1">
      <x:c r="A294" s="2"/>
      <x:c r="B294" s="2"/>
      <x:c r="C294" s="45" t="str">
        <x:v>Alphabet</x:v>
      </x:c>
      <x:c r="D294" s="46" t="str">
        <x:v>GOOGL / GOOG</x:v>
      </x:c>
      <x:c r="E294" s="45" t="str">
        <x:v>USD</x:v>
      </x:c>
      <x:c r="F294" s="45" t="str">
        <x:v>2026 Q2, 3 months</x:v>
      </x:c>
      <x:c r="G294" s="45" t="str">
        <x:v>debt_is_lower_bound</x:v>
      </x:c>
      <x:c r="H294" s="45" t="str"/>
      <x:c r="I294" s="45" t="str">
        <x:v>원문 범위</x:v>
      </x:c>
      <x:c r="J294" s="49" t="n">
        <x:v>46282</x:v>
      </x:c>
      <x:c r="K294" s="45" t="str">
        <x:v>https://s206.q4cdn.com/479360582/files/doc_financials/2026/q2/2026q2-alphabet-earnings-release.pdf
https://www.google.com/finance/quote/GOOGL:NASDAQ</x:v>
      </x:c>
      <x:c r="L294"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4" s="45" t="str">
        <x:v>Alphabet.debt_is_lower_bound</x:v>
      </x:c>
    </x:row>
    <x:row r="295" ht="60" hidden="0" customHeight="1">
      <x:c r="A295" s="2"/>
      <x:c r="B295" s="2"/>
      <x:c r="C295" s="45" t="str">
        <x:v>Alphabet</x:v>
      </x:c>
      <x:c r="D295" s="46" t="str">
        <x:v>GOOGL / GOOG</x:v>
      </x:c>
      <x:c r="E295" s="45" t="str">
        <x:v>USD</x:v>
      </x:c>
      <x:c r="F295" s="45" t="str">
        <x:v>2026 Q2, 3 months</x:v>
      </x:c>
      <x:c r="G295" s="45" t="str">
        <x:v>보통주 귀속 순이익</x:v>
      </x:c>
      <x:c r="H295" s="51" t="n">
        <x:v>112107</x:v>
      </x:c>
      <x:c r="I295" s="45" t="str">
        <x:v>백만</x:v>
      </x:c>
      <x:c r="J295" s="49" t="n">
        <x:v>46282</x:v>
      </x:c>
      <x:c r="K295" s="45" t="str">
        <x:v>https://s206.q4cdn.com/479360582/files/doc_financials/2026/q2/2026q2-alphabet-earnings-release.pdf
https://www.google.com/finance/quote/GOOGL:NASDAQ</x:v>
      </x:c>
      <x:c r="L295"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5" s="45" t="str">
        <x:v>Alphabet.net_income_common_shareholders</x:v>
      </x:c>
    </x:row>
    <x:row r="296" ht="60" hidden="0" customHeight="1">
      <x:c r="A296" s="2"/>
      <x:c r="B296" s="2"/>
      <x:c r="C296" s="45" t="str">
        <x:v>Alphabet</x:v>
      </x:c>
      <x:c r="D296" s="46" t="str">
        <x:v>GOOGL / GOOG</x:v>
      </x:c>
      <x:c r="E296" s="45" t="str">
        <x:v>USD</x:v>
      </x:c>
      <x:c r="F296" s="45" t="str">
        <x:v>2026 Q2, 3 months</x:v>
      </x:c>
      <x:c r="G296" s="45" t="str">
        <x:v>현금흐름 기간</x:v>
      </x:c>
      <x:c r="H296" s="45" t="str">
        <x:v>2026 Q2</x:v>
      </x:c>
      <x:c r="I296" s="45" t="str">
        <x:v>원문 범위</x:v>
      </x:c>
      <x:c r="J296" s="49" t="n">
        <x:v>46282</x:v>
      </x:c>
      <x:c r="K296" s="45" t="str">
        <x:v>https://s206.q4cdn.com/479360582/files/doc_financials/2026/q2/2026q2-alphabet-earnings-release.pdf
https://www.google.com/finance/quote/GOOGL:NASDAQ</x:v>
      </x:c>
      <x:c r="L296"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6" s="45" t="str">
        <x:v>Alphabet.cash_flow_period</x:v>
      </x:c>
    </x:row>
    <x:row r="297" ht="60" hidden="0" customHeight="1">
      <x:c r="A297" s="2"/>
      <x:c r="B297" s="2"/>
      <x:c r="C297" s="45" t="str">
        <x:v>Alphabet</x:v>
      </x:c>
      <x:c r="D297" s="46" t="str">
        <x:v>GOOGL / GOOG</x:v>
      </x:c>
      <x:c r="E297" s="45" t="str">
        <x:v>USD</x:v>
      </x:c>
      <x:c r="F297" s="45" t="str">
        <x:v>2026 Q2, 3 months</x:v>
      </x:c>
      <x:c r="G297" s="45" t="str">
        <x:v>total_common_shares_million_at_bs</x:v>
      </x:c>
      <x:c r="H297" s="51" t="n">
        <x:v>12230</x:v>
      </x:c>
      <x:c r="I297" s="45" t="str">
        <x:v>백만 주</x:v>
      </x:c>
      <x:c r="J297" s="49" t="n">
        <x:v>46282</x:v>
      </x:c>
      <x:c r="K297" s="45" t="str">
        <x:v>https://s206.q4cdn.com/479360582/files/doc_financials/2026/q2/2026q2-alphabet-earnings-release.pdf
https://www.google.com/finance/quote/GOOGL:NASDAQ</x:v>
      </x:c>
      <x:c r="L297"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7" s="45" t="str">
        <x:v>Alphabet.total_common_shares_million_at_bs</x:v>
      </x:c>
    </x:row>
    <x:row r="298" ht="60" hidden="0" customHeight="1">
      <x:c r="A298" s="2"/>
      <x:c r="B298" s="2"/>
      <x:c r="C298" s="45" t="str">
        <x:v>Alphabet</x:v>
      </x:c>
      <x:c r="D298" s="46" t="str">
        <x:v>GOOGL / GOOG</x:v>
      </x:c>
      <x:c r="E298" s="45" t="str">
        <x:v>USD</x:v>
      </x:c>
      <x:c r="F298" s="45" t="str">
        <x:v>2026 Q2, 3 months</x:v>
      </x:c>
      <x:c r="G298" s="45" t="str">
        <x:v>mandatory_convertible_preferred_book_value</x:v>
      </x:c>
      <x:c r="H298" s="51" t="n">
        <x:v>18023</x:v>
      </x:c>
      <x:c r="I298" s="45" t="str">
        <x:v>백만</x:v>
      </x:c>
      <x:c r="J298" s="49" t="n">
        <x:v>46282</x:v>
      </x:c>
      <x:c r="K298" s="45" t="str">
        <x:v>https://s206.q4cdn.com/479360582/files/doc_financials/2026/q2/2026q2-alphabet-earnings-release.pdf
https://www.google.com/finance/quote/GOOGL:NASDAQ</x:v>
      </x:c>
      <x:c r="L298"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8" s="45" t="str">
        <x:v>Alphabet.mandatory_convertible_preferred_book_value</x:v>
      </x:c>
    </x:row>
    <x:row r="299" ht="60" hidden="0" customHeight="1">
      <x:c r="A299" s="2"/>
      <x:c r="B299" s="2"/>
      <x:c r="C299" s="45" t="str">
        <x:v>Alphabet</x:v>
      </x:c>
      <x:c r="D299" s="46" t="str">
        <x:v>GOOGL / GOOG</x:v>
      </x:c>
      <x:c r="E299" s="45" t="str">
        <x:v>USD</x:v>
      </x:c>
      <x:c r="F299" s="45" t="str">
        <x:v>2026 Q2, 3 months</x:v>
      </x:c>
      <x:c r="G299" s="45" t="str">
        <x:v>equity_funding_net_proceeds_approx</x:v>
      </x:c>
      <x:c r="H299" s="51" t="n">
        <x:v>49600</x:v>
      </x:c>
      <x:c r="I299" s="45" t="str">
        <x:v>백만</x:v>
      </x:c>
      <x:c r="J299" s="49" t="n">
        <x:v>46282</x:v>
      </x:c>
      <x:c r="K299" s="45" t="str">
        <x:v>https://s206.q4cdn.com/479360582/files/doc_financials/2026/q2/2026q2-alphabet-earnings-release.pdf
https://www.google.com/finance/quote/GOOGL:NASDAQ</x:v>
      </x:c>
      <x:c r="L299"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299" s="45" t="str">
        <x:v>Alphabet.equity_funding_net_proceeds_approx</x:v>
      </x:c>
    </x:row>
    <x:row r="300" ht="60" hidden="0" customHeight="1">
      <x:c r="A300" s="2"/>
      <x:c r="B300" s="2"/>
      <x:c r="C300" s="45" t="str">
        <x:v>Alphabet</x:v>
      </x:c>
      <x:c r="D300" s="46" t="str">
        <x:v>GOOGL / GOOG</x:v>
      </x:c>
      <x:c r="E300" s="45" t="str">
        <x:v>USD</x:v>
      </x:c>
      <x:c r="F300" s="45" t="str">
        <x:v>2026 Q2, 3 months</x:v>
      </x:c>
      <x:c r="G300" s="45" t="str">
        <x:v>unused_atm_capacity_2026_06_30</x:v>
      </x:c>
      <x:c r="H300" s="51" t="n">
        <x:v>40000</x:v>
      </x:c>
      <x:c r="I300" s="45" t="str">
        <x:v>백만</x:v>
      </x:c>
      <x:c r="J300" s="49" t="n">
        <x:v>46282</x:v>
      </x:c>
      <x:c r="K300" s="45" t="str">
        <x:v>https://s206.q4cdn.com/479360582/files/doc_financials/2026/q2/2026q2-alphabet-earnings-release.pdf
https://www.google.com/finance/quote/GOOGL:NASDAQ</x:v>
      </x:c>
      <x:c r="L300"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300" s="45" t="str">
        <x:v>Alphabet.unused_atm_capacity_2026_06_30</x:v>
      </x:c>
    </x:row>
    <x:row r="301" ht="60" hidden="0" customHeight="1">
      <x:c r="A301" s="2"/>
      <x:c r="B301" s="2"/>
      <x:c r="C301" s="45" t="str">
        <x:v>Alphabet</x:v>
      </x:c>
      <x:c r="D301" s="46" t="str">
        <x:v>GOOGL / GOOG</x:v>
      </x:c>
      <x:c r="E301" s="45" t="str">
        <x:v>USD</x:v>
      </x:c>
      <x:c r="F301" s="45" t="str">
        <x:v>2026-09-16 US close, Class A</x:v>
      </x:c>
      <x:c r="G301" s="45" t="str">
        <x:v>시가총액 확인 범위</x:v>
      </x:c>
      <x:c r="H301" s="45" t="str">
        <x:v>Google Finance reported rounded company value across classes; do not add GOOGL and GOOG company market caps</x:v>
      </x:c>
      <x:c r="I301" s="45" t="str">
        <x:v>원문 범위</x:v>
      </x:c>
      <x:c r="J301" s="49" t="n">
        <x:v>46282</x:v>
      </x:c>
      <x:c r="K301" s="45" t="str">
        <x:v>https://s206.q4cdn.com/479360582/files/doc_financials/2026/q2/2026q2-alphabet-earnings-release.pdf
https://www.google.com/finance/quote/GOOGL:NASDAQ</x:v>
      </x:c>
      <x:c r="L301"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301" s="45" t="str">
        <x:v>Alphabet.market_cap_status</x:v>
      </x:c>
    </x:row>
    <x:row r="302" ht="60" hidden="0" customHeight="1">
      <x:c r="A302" s="2"/>
      <x:c r="B302" s="2"/>
      <x:c r="C302" s="45" t="str">
        <x:v>Alphabet</x:v>
      </x:c>
      <x:c r="D302" s="46" t="str">
        <x:v>GOOGL / GOOG</x:v>
      </x:c>
      <x:c r="E302" s="45" t="str">
        <x:v>USD</x:v>
      </x:c>
      <x:c r="F302" s="45" t="str">
        <x:v>2026 Q2, 3 months</x:v>
      </x:c>
      <x:c r="G302" s="45" t="str">
        <x:v>기타손익 순액</x:v>
      </x:c>
      <x:c r="H302" s="51" t="n">
        <x:v>97983</x:v>
      </x:c>
      <x:c r="I302" s="45" t="str">
        <x:v>백만</x:v>
      </x:c>
      <x:c r="J302" s="49" t="n">
        <x:v>46282</x:v>
      </x:c>
      <x:c r="K302" s="45" t="str">
        <x:v>https://s206.q4cdn.com/479360582/files/doc_financials/2026/q2/2026q2-alphabet-earnings-release.pdf
https://www.google.com/finance/quote/GOOGL:NASDAQ</x:v>
      </x:c>
      <x:c r="L302"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302" s="45" t="str">
        <x:v>Alphabet.other_income_net</x:v>
      </x:c>
    </x:row>
    <x:row r="303" ht="60" hidden="0" customHeight="1">
      <x:c r="A303" s="2"/>
      <x:c r="B303" s="2"/>
      <x:c r="C303" s="45" t="str">
        <x:v>Alphabet</x:v>
      </x:c>
      <x:c r="D303" s="46" t="str">
        <x:v>GOOGL / GOOG</x:v>
      </x:c>
      <x:c r="E303" s="45" t="str">
        <x:v>USD</x:v>
      </x:c>
      <x:c r="F303" s="45" t="str">
        <x:v>2026 Q2, 3 months</x:v>
      </x:c>
      <x:c r="G303" s="45" t="str">
        <x:v>other_income_net_definition</x:v>
      </x:c>
      <x:c r="H303" s="45" t="str">
        <x:v>Other income (expense), net; distinct from net gains on debt and equity securities</x:v>
      </x:c>
      <x:c r="I303" s="45" t="str">
        <x:v>원문 범위</x:v>
      </x:c>
      <x:c r="J303" s="49" t="n">
        <x:v>46282</x:v>
      </x:c>
      <x:c r="K303" s="45" t="str">
        <x:v>https://s206.q4cdn.com/479360582/files/doc_financials/2026/q2/2026q2-alphabet-earnings-release.pdf
https://www.google.com/finance/quote/GOOGL:NASDAQ</x:v>
      </x:c>
      <x:c r="L303"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303" s="45" t="str">
        <x:v>Alphabet.other_income_net_definition</x:v>
      </x:c>
    </x:row>
    <x:row r="304" ht="60" hidden="0" customHeight="1">
      <x:c r="A304" s="2"/>
      <x:c r="B304" s="2"/>
      <x:c r="C304" s="45" t="str">
        <x:v>Alphabet</x:v>
      </x:c>
      <x:c r="D304" s="46" t="str">
        <x:v>GOOGL / GOOG</x:v>
      </x:c>
      <x:c r="E304" s="45" t="str">
        <x:v>USD</x:v>
      </x:c>
      <x:c r="F304" s="45" t="str">
        <x:v>2026 Q2, 3 months</x:v>
      </x:c>
      <x:c r="G304" s="45" t="str">
        <x:v>채무·지분증권 순이익</x:v>
      </x:c>
      <x:c r="H304" s="51" t="n">
        <x:v>98999</x:v>
      </x:c>
      <x:c r="I304" s="45" t="str">
        <x:v>백만</x:v>
      </x:c>
      <x:c r="J304" s="49" t="n">
        <x:v>46282</x:v>
      </x:c>
      <x:c r="K304" s="45" t="str">
        <x:v>https://s206.q4cdn.com/479360582/files/doc_financials/2026/q2/2026q2-alphabet-earnings-release.pdf
https://www.google.com/finance/quote/GOOGL:NASDAQ</x:v>
      </x:c>
      <x:c r="L304"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304" s="45" t="str">
        <x:v>Alphabet.net_gain_debt_equity_securities</x:v>
      </x:c>
    </x:row>
    <x:row r="305" ht="60" hidden="0" customHeight="1">
      <x:c r="A305" s="2"/>
      <x:c r="B305" s="2"/>
      <x:c r="C305" s="45" t="str">
        <x:v>Alphabet</x:v>
      </x:c>
      <x:c r="D305" s="46" t="str">
        <x:v>GOOGL / GOOG</x:v>
      </x:c>
      <x:c r="E305" s="45" t="str">
        <x:v>USD</x:v>
      </x:c>
      <x:c r="F305" s="45" t="str">
        <x:v>2026 Q2, 3 months</x:v>
      </x:c>
      <x:c r="G305" s="45" t="str">
        <x:v>net_gain_debt_equity_securities_definition</x:v>
      </x:c>
      <x:c r="H305" s="45" t="str">
        <x:v>Positive net gain; the indirect cash-flow statement presents the corresponding adjustment as -98999; includes realized and unrealized effects</x:v>
      </x:c>
      <x:c r="I305" s="45" t="str">
        <x:v>원문 범위</x:v>
      </x:c>
      <x:c r="J305" s="49" t="n">
        <x:v>46282</x:v>
      </x:c>
      <x:c r="K305" s="45" t="str">
        <x:v>https://s206.q4cdn.com/479360582/files/doc_financials/2026/q2/2026q2-alphabet-earnings-release.pdf
https://www.google.com/finance/quote/GOOGL:NASDAQ</x:v>
      </x:c>
      <x:c r="L305" s="45" t="str">
        <x:v>June equity funding includes common stock and mandatory-convertible preferred; ATM facility unused at June 30.
Other income (expense), net of 97983 is not identical to net gains on debt and equity securities of 98999. These gains must not be treated as recurring operating income or robot revenue.
Google DeepMind robotics economics not separately reported.</x:v>
      </x:c>
      <x:c r="M305" s="45" t="str">
        <x:v>Alphabet.net_gain_debt_equity_securities_definition</x:v>
      </x:c>
    </x:row>
    <x:row r="306" ht="192" hidden="0" customHeight="1">
      <x:c r="A306" s="2"/>
      <x:c r="B306" s="2"/>
      <x:c r="C306" s="45" t="str">
        <x:v>XPeng</x:v>
      </x:c>
      <x:c r="D306" s="46" t="str">
        <x:v>XPEV</x:v>
      </x:c>
      <x:c r="E306" s="45" t="str">
        <x:v>USD</x:v>
      </x:c>
      <x:c r="F306" s="45" t="str">
        <x:v>2026-09-16 16:00:05 GMT-4 US close</x:v>
      </x:c>
      <x:c r="G306" s="45" t="str">
        <x:v>주가</x:v>
      </x:c>
      <x:c r="H306" s="51" t="n">
        <x:v>10.34</x:v>
      </x:c>
      <x:c r="I306" s="45" t="str">
        <x:v>통화/주</x:v>
      </x:c>
      <x:c r="J306" s="49" t="n">
        <x:v>46282</x:v>
      </x:c>
      <x:c r="K306"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06"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06" s="45" t="str">
        <x:v>XPeng.price</x:v>
      </x:c>
    </x:row>
    <x:row r="307" ht="192" hidden="0" customHeight="1">
      <x:c r="A307" s="2"/>
      <x:c r="B307" s="2"/>
      <x:c r="C307" s="45" t="str">
        <x:v>XPeng</x:v>
      </x:c>
      <x:c r="D307" s="46" t="str">
        <x:v>XPEV</x:v>
      </x:c>
      <x:c r="E307" s="45" t="str">
        <x:v>USD</x:v>
      </x:c>
      <x:c r="F307" s="45" t="str">
        <x:v>2026-09-16 16:00:05 GMT-4 US close</x:v>
      </x:c>
      <x:c r="G307" s="45" t="str">
        <x:v>시가총액</x:v>
      </x:c>
      <x:c r="H307" s="45" t="str">
        <x:v>미확인</x:v>
      </x:c>
      <x:c r="I307" s="45" t="str">
        <x:v>원문 범위</x:v>
      </x:c>
      <x:c r="J307" s="49" t="n">
        <x:v>46282</x:v>
      </x:c>
      <x:c r="K307"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07"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07" s="45" t="str">
        <x:v>XPeng.market_cap</x:v>
      </x:c>
    </x:row>
    <x:row r="308" ht="192" hidden="0" customHeight="1">
      <x:c r="A308" s="2"/>
      <x:c r="B308" s="2"/>
      <x:c r="C308" s="45" t="str">
        <x:v>XPeng</x:v>
      </x:c>
      <x:c r="D308" s="46" t="str">
        <x:v>XPEV</x:v>
      </x:c>
      <x:c r="E308" s="45" t="str">
        <x:v>CNY</x:v>
      </x:c>
      <x:c r="F308" s="45" t="str">
        <x:v>2026 Q2, 3 months</x:v>
      </x:c>
      <x:c r="G308" s="45" t="str">
        <x:v>매출</x:v>
      </x:c>
      <x:c r="H308" s="51" t="n">
        <x:v>19743.593</x:v>
      </x:c>
      <x:c r="I308" s="45" t="str">
        <x:v>백만</x:v>
      </x:c>
      <x:c r="J308" s="49" t="n">
        <x:v>46282</x:v>
      </x:c>
      <x:c r="K308"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08"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08" s="45" t="str">
        <x:v>XPeng.revenue</x:v>
      </x:c>
    </x:row>
    <x:row r="309" ht="192" hidden="0" customHeight="1">
      <x:c r="A309" s="2"/>
      <x:c r="B309" s="2"/>
      <x:c r="C309" s="45" t="str">
        <x:v>XPeng</x:v>
      </x:c>
      <x:c r="D309" s="46" t="str">
        <x:v>XPEV</x:v>
      </x:c>
      <x:c r="E309" s="45" t="str">
        <x:v>CNY</x:v>
      </x:c>
      <x:c r="F309" s="45" t="str">
        <x:v>2026 Q2, 3 months</x:v>
      </x:c>
      <x:c r="G309" s="45" t="str">
        <x:v>영업이익</x:v>
      </x:c>
      <x:c r="H309" s="51" t="n">
        <x:v>-1142.53</x:v>
      </x:c>
      <x:c r="I309" s="45" t="str">
        <x:v>백만</x:v>
      </x:c>
      <x:c r="J309" s="49" t="n">
        <x:v>46282</x:v>
      </x:c>
      <x:c r="K309"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09"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09" s="45" t="str">
        <x:v>XPeng.operating_profit</x:v>
      </x:c>
    </x:row>
    <x:row r="310" ht="192" hidden="0" customHeight="1">
      <x:c r="A310" s="2"/>
      <x:c r="B310" s="2"/>
      <x:c r="C310" s="45" t="str">
        <x:v>XPeng</x:v>
      </x:c>
      <x:c r="D310" s="46" t="str">
        <x:v>XPEV</x:v>
      </x:c>
      <x:c r="E310" s="45" t="str">
        <x:v>CNY</x:v>
      </x:c>
      <x:c r="F310" s="45" t="str">
        <x:v>2026-06-30</x:v>
      </x:c>
      <x:c r="G310" s="45" t="str">
        <x:v>현금</x:v>
      </x:c>
      <x:c r="H310" s="51" t="n">
        <x:v>14238.387</x:v>
      </x:c>
      <x:c r="I310" s="45" t="str">
        <x:v>백만</x:v>
      </x:c>
      <x:c r="J310" s="49" t="n">
        <x:v>46282</x:v>
      </x:c>
      <x:c r="K310"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0"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0" s="45" t="str">
        <x:v>XPeng.cash</x:v>
      </x:c>
    </x:row>
    <x:row r="311" ht="192" hidden="0" customHeight="1">
      <x:c r="A311" s="2"/>
      <x:c r="B311" s="2"/>
      <x:c r="C311" s="45" t="str">
        <x:v>XPeng</x:v>
      </x:c>
      <x:c r="D311" s="46" t="str">
        <x:v>XPEV</x:v>
      </x:c>
      <x:c r="E311" s="45" t="str">
        <x:v>CNY</x:v>
      </x:c>
      <x:c r="F311" s="45" t="str">
        <x:v>2026-06-30</x:v>
      </x:c>
      <x:c r="G311" s="45" t="str">
        <x:v>차입금</x:v>
      </x:c>
      <x:c r="H311" s="51" t="n">
        <x:v>24484.772</x:v>
      </x:c>
      <x:c r="I311" s="45" t="str">
        <x:v>백만</x:v>
      </x:c>
      <x:c r="J311" s="49" t="n">
        <x:v>46282</x:v>
      </x:c>
      <x:c r="K311"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1"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1" s="45" t="str">
        <x:v>XPeng.debt</x:v>
      </x:c>
    </x:row>
    <x:row r="312" ht="192" hidden="0" customHeight="1">
      <x:c r="A312" s="2"/>
      <x:c r="B312" s="2"/>
      <x:c r="C312" s="45" t="str">
        <x:v>XPeng</x:v>
      </x:c>
      <x:c r="D312" s="46" t="str">
        <x:v>XPEV</x:v>
      </x:c>
      <x:c r="E312" s="45" t="str">
        <x:v>CNY</x:v>
      </x:c>
      <x:c r="F312" s="45" t="str">
        <x:v>2026 Q2</x:v>
      </x:c>
      <x:c r="G312" s="45" t="str">
        <x:v>영업현금흐름</x:v>
      </x:c>
      <x:c r="H312" s="45" t="str">
        <x:v>미확인</x:v>
      </x:c>
      <x:c r="I312" s="45" t="str">
        <x:v>원문 범위</x:v>
      </x:c>
      <x:c r="J312" s="49" t="n">
        <x:v>46282</x:v>
      </x:c>
      <x:c r="K312"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2"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2" s="45" t="str">
        <x:v>XPeng.operating_cash_flow</x:v>
      </x:c>
    </x:row>
    <x:row r="313" ht="192" hidden="0" customHeight="1">
      <x:c r="A313" s="2"/>
      <x:c r="B313" s="2"/>
      <x:c r="C313" s="45" t="str">
        <x:v>XPeng</x:v>
      </x:c>
      <x:c r="D313" s="46" t="str">
        <x:v>XPEV</x:v>
      </x:c>
      <x:c r="E313" s="45" t="str">
        <x:v>CNY</x:v>
      </x:c>
      <x:c r="F313" s="45" t="str">
        <x:v>2026 Q2</x:v>
      </x:c>
      <x:c r="G313" s="45" t="str">
        <x:v>설비·무형자산 투자</x:v>
      </x:c>
      <x:c r="H313" s="45" t="str">
        <x:v>미확인</x:v>
      </x:c>
      <x:c r="I313" s="45" t="str">
        <x:v>원문 범위</x:v>
      </x:c>
      <x:c r="J313" s="49" t="n">
        <x:v>46282</x:v>
      </x:c>
      <x:c r="K313"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3"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3" s="45" t="str">
        <x:v>XPeng.capex</x:v>
      </x:c>
    </x:row>
    <x:row r="314" ht="192" hidden="0" customHeight="1">
      <x:c r="A314" s="2"/>
      <x:c r="B314" s="2"/>
      <x:c r="C314" s="45" t="str">
        <x:v>XPeng</x:v>
      </x:c>
      <x:c r="D314" s="46" t="str">
        <x:v>XPEV</x:v>
      </x:c>
      <x:c r="E314" s="45" t="str">
        <x:v>CNY</x:v>
      </x:c>
      <x:c r="F314" s="45" t="str">
        <x:v>2026 Q2</x:v>
      </x:c>
      <x:c r="G314" s="45" t="str">
        <x:v>잉여현금흐름</x:v>
      </x:c>
      <x:c r="H314" s="45" t="str">
        <x:v>미확인</x:v>
      </x:c>
      <x:c r="I314" s="45" t="str">
        <x:v>원문 범위</x:v>
      </x:c>
      <x:c r="J314" s="49" t="n">
        <x:v>46282</x:v>
      </x:c>
      <x:c r="K314"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4"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4" s="45" t="str">
        <x:v>XPeng.free_cash_flow</x:v>
      </x:c>
    </x:row>
    <x:row r="315" ht="192" hidden="0" customHeight="1">
      <x:c r="A315" s="2"/>
      <x:c r="B315" s="2"/>
      <x:c r="C315" s="45" t="str">
        <x:v>XPeng</x:v>
      </x:c>
      <x:c r="D315" s="46" t="str">
        <x:v>XPEV</x:v>
      </x:c>
      <x:c r="E315" s="45" t="str">
        <x:v>CNY</x:v>
      </x:c>
      <x:c r="F315" s="45" t="str">
        <x:v>2026 Q2, 3 months</x:v>
      </x:c>
      <x:c r="G315" s="45" t="str">
        <x:v>legal_entity</x:v>
      </x:c>
      <x:c r="H315" s="45" t="str">
        <x:v>XPeng Inc.</x:v>
      </x:c>
      <x:c r="I315" s="45" t="str">
        <x:v>원문 범위</x:v>
      </x:c>
      <x:c r="J315" s="49" t="n">
        <x:v>46282</x:v>
      </x:c>
      <x:c r="K315"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5"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5" s="45" t="str">
        <x:v>XPeng.legal_entity</x:v>
      </x:c>
    </x:row>
    <x:row r="316" ht="192" hidden="0" customHeight="1">
      <x:c r="A316" s="2"/>
      <x:c r="B316" s="2"/>
      <x:c r="C316" s="45" t="str">
        <x:v>XPeng</x:v>
      </x:c>
      <x:c r="D316" s="46" t="str">
        <x:v>XPEV</x:v>
      </x:c>
      <x:c r="E316" s="45" t="str">
        <x:v>CNY</x:v>
      </x:c>
      <x:c r="F316" s="45" t="str">
        <x:v>2026 Q2, 3 months</x:v>
      </x:c>
      <x:c r="G316" s="45" t="str">
        <x:v>exchange</x:v>
      </x:c>
      <x:c r="H316" s="45" t="str">
        <x:v>NYSE</x:v>
      </x:c>
      <x:c r="I316" s="45" t="str">
        <x:v>원문 범위</x:v>
      </x:c>
      <x:c r="J316" s="49" t="n">
        <x:v>46282</x:v>
      </x:c>
      <x:c r="K316"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6"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6" s="45" t="str">
        <x:v>XPeng.exchange</x:v>
      </x:c>
    </x:row>
    <x:row r="317" ht="192" hidden="0" customHeight="1">
      <x:c r="A317" s="2"/>
      <x:c r="B317" s="2"/>
      <x:c r="C317" s="45" t="str">
        <x:v>XPeng</x:v>
      </x:c>
      <x:c r="D317" s="46" t="str">
        <x:v>XPEV</x:v>
      </x:c>
      <x:c r="E317" s="45" t="str">
        <x:v>CNY</x:v>
      </x:c>
      <x:c r="F317" s="45" t="str">
        <x:v>2026 Q2, 3 months</x:v>
      </x:c>
      <x:c r="G317" s="45" t="str">
        <x:v>listed_status</x:v>
      </x:c>
      <x:c r="H317" s="45" t="str">
        <x:v>listed_verified</x:v>
      </x:c>
      <x:c r="I317" s="45" t="str">
        <x:v>원문 범위</x:v>
      </x:c>
      <x:c r="J317" s="49" t="n">
        <x:v>46282</x:v>
      </x:c>
      <x:c r="K317"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7"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7" s="45" t="str">
        <x:v>XPeng.listed_status</x:v>
      </x:c>
    </x:row>
    <x:row r="318" ht="192" hidden="0" customHeight="1">
      <x:c r="A318" s="2"/>
      <x:c r="B318" s="2"/>
      <x:c r="C318" s="45" t="str">
        <x:v>XPeng</x:v>
      </x:c>
      <x:c r="D318" s="46" t="str">
        <x:v>XPEV</x:v>
      </x:c>
      <x:c r="E318" s="45" t="str">
        <x:v>CNY</x:v>
      </x:c>
      <x:c r="F318" s="45" t="str">
        <x:v>2026 Q2, 3 months</x:v>
      </x:c>
      <x:c r="G318" s="45" t="str">
        <x:v>as_of</x:v>
      </x:c>
      <x:c r="H318" s="45" t="str">
        <x:v>2026-09-17</x:v>
      </x:c>
      <x:c r="I318" s="45" t="str">
        <x:v>원문 범위</x:v>
      </x:c>
      <x:c r="J318" s="49" t="n">
        <x:v>46282</x:v>
      </x:c>
      <x:c r="K318"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8"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8" s="45" t="str">
        <x:v>XPeng.as_of</x:v>
      </x:c>
    </x:row>
    <x:row r="319" ht="192" hidden="0" customHeight="1">
      <x:c r="A319" s="2"/>
      <x:c r="B319" s="2"/>
      <x:c r="C319" s="45" t="str">
        <x:v>XPeng</x:v>
      </x:c>
      <x:c r="D319" s="46" t="str">
        <x:v>XPEV</x:v>
      </x:c>
      <x:c r="E319" s="45" t="str">
        <x:v>CNY</x:v>
      </x:c>
      <x:c r="F319" s="45" t="str">
        <x:v>2026 Q2, 3 months</x:v>
      </x:c>
      <x:c r="G319" s="45" t="str">
        <x:v>주가 관측 시점</x:v>
      </x:c>
      <x:c r="H319" s="45" t="str">
        <x:v>2026-09-16 16:00:05 GMT-4 US close</x:v>
      </x:c>
      <x:c r="I319" s="45" t="str">
        <x:v>원문 범위</x:v>
      </x:c>
      <x:c r="J319" s="49" t="n">
        <x:v>46282</x:v>
      </x:c>
      <x:c r="K319"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19"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19" s="45" t="str">
        <x:v>XPeng.price_date</x:v>
      </x:c>
    </x:row>
    <x:row r="320" ht="192" hidden="0" customHeight="1">
      <x:c r="A320" s="2"/>
      <x:c r="B320" s="2"/>
      <x:c r="C320" s="45" t="str">
        <x:v>XPeng</x:v>
      </x:c>
      <x:c r="D320" s="46" t="str">
        <x:v>XPEV</x:v>
      </x:c>
      <x:c r="E320" s="45" t="str">
        <x:v>CNY</x:v>
      </x:c>
      <x:c r="F320" s="45" t="str">
        <x:v>2026 Q2, 3 months</x:v>
      </x:c>
      <x:c r="G320" s="45" t="str">
        <x:v>price_currency</x:v>
      </x:c>
      <x:c r="H320" s="45" t="str">
        <x:v>USD</x:v>
      </x:c>
      <x:c r="I320" s="45" t="str">
        <x:v>원문 범위</x:v>
      </x:c>
      <x:c r="J320" s="49" t="n">
        <x:v>46282</x:v>
      </x:c>
      <x:c r="K320"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0"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0" s="45" t="str">
        <x:v>XPeng.price_currency</x:v>
      </x:c>
    </x:row>
    <x:row r="321" ht="192" hidden="0" customHeight="1">
      <x:c r="A321" s="2"/>
      <x:c r="B321" s="2"/>
      <x:c r="C321" s="45" t="str">
        <x:v>XPeng</x:v>
      </x:c>
      <x:c r="D321" s="46" t="str">
        <x:v>XPEV</x:v>
      </x:c>
      <x:c r="E321" s="45" t="str">
        <x:v>CNY</x:v>
      </x:c>
      <x:c r="F321" s="45" t="str">
        <x:v>2026 Q2, 3 months</x:v>
      </x:c>
      <x:c r="G321" s="45" t="str">
        <x:v>price_instrument</x:v>
      </x:c>
      <x:c r="H321" s="45" t="str">
        <x:v>American depositary share (ADS), representing two Class A ordinary shares</x:v>
      </x:c>
      <x:c r="I321" s="45" t="str">
        <x:v>원문 범위</x:v>
      </x:c>
      <x:c r="J321" s="49" t="n">
        <x:v>46282</x:v>
      </x:c>
      <x:c r="K321"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1"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1" s="45" t="str">
        <x:v>XPeng.price_instrument</x:v>
      </x:c>
    </x:row>
    <x:row r="322" ht="192" hidden="0" customHeight="1">
      <x:c r="A322" s="2"/>
      <x:c r="B322" s="2"/>
      <x:c r="C322" s="45" t="str">
        <x:v>XPeng</x:v>
      </x:c>
      <x:c r="D322" s="46" t="str">
        <x:v>XPEV</x:v>
      </x:c>
      <x:c r="E322" s="45" t="str">
        <x:v>CNY</x:v>
      </x:c>
      <x:c r="F322" s="45" t="str">
        <x:v>2026 Q2, 3 months</x:v>
      </x:c>
      <x:c r="G322" s="45" t="str">
        <x:v>additional_listings</x:v>
      </x:c>
      <x:c r="H322" s="45" t="str">
        <x:v>ticker: 9868
exchange: HKEX
price_currency: HKD
price: 미확인
price_date: 미확인
price_status: not_verified_for_same_closing_cutoff</x:v>
      </x:c>
      <x:c r="I322" s="45" t="str">
        <x:v>원문 범위</x:v>
      </x:c>
      <x:c r="J322" s="49" t="n">
        <x:v>46282</x:v>
      </x:c>
      <x:c r="K322"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2"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2" s="45" t="str">
        <x:v>XPeng.additional_listings</x:v>
      </x:c>
    </x:row>
    <x:row r="323" ht="192" hidden="0" customHeight="1">
      <x:c r="A323" s="2"/>
      <x:c r="B323" s="2"/>
      <x:c r="C323" s="45" t="str">
        <x:v>XPeng</x:v>
      </x:c>
      <x:c r="D323" s="46" t="str">
        <x:v>XPEV</x:v>
      </x:c>
      <x:c r="E323" s="45" t="str">
        <x:v>USD</x:v>
      </x:c>
      <x:c r="F323" s="45" t="str">
        <x:v>2026-09-16 16:00:05 GMT-4 US close</x:v>
      </x:c>
      <x:c r="G323" s="45" t="str">
        <x:v>market_cap_currency</x:v>
      </x:c>
      <x:c r="H323" s="45" t="str">
        <x:v>USD</x:v>
      </x:c>
      <x:c r="I323" s="45" t="str">
        <x:v>원문 범위</x:v>
      </x:c>
      <x:c r="J323" s="49" t="n">
        <x:v>46282</x:v>
      </x:c>
      <x:c r="K323"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3"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3" s="45" t="str">
        <x:v>XPeng.market_cap_currency</x:v>
      </x:c>
    </x:row>
    <x:row r="324" ht="192" hidden="0" customHeight="1">
      <x:c r="A324" s="2"/>
      <x:c r="B324" s="2"/>
      <x:c r="C324" s="45" t="str">
        <x:v>XPeng</x:v>
      </x:c>
      <x:c r="D324" s="46" t="str">
        <x:v>XPEV</x:v>
      </x:c>
      <x:c r="E324" s="45" t="str">
        <x:v>USD</x:v>
      </x:c>
      <x:c r="F324" s="45" t="str">
        <x:v>2026-09-16 16:00:05 GMT-4 US close</x:v>
      </x:c>
      <x:c r="G324" s="45" t="str">
        <x:v>market_cap_unit</x:v>
      </x:c>
      <x:c r="H324" s="45" t="str">
        <x:v>million</x:v>
      </x:c>
      <x:c r="I324" s="45" t="str">
        <x:v>원문 범위</x:v>
      </x:c>
      <x:c r="J324" s="49" t="n">
        <x:v>46282</x:v>
      </x:c>
      <x:c r="K324"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4"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4" s="45" t="str">
        <x:v>XPeng.market_cap_unit</x:v>
      </x:c>
    </x:row>
    <x:row r="325" ht="192" hidden="0" customHeight="1">
      <x:c r="A325" s="2"/>
      <x:c r="B325" s="2"/>
      <x:c r="C325" s="45" t="str">
        <x:v>XPeng</x:v>
      </x:c>
      <x:c r="D325" s="46" t="str">
        <x:v>XPEV</x:v>
      </x:c>
      <x:c r="E325" s="45" t="str">
        <x:v>USD</x:v>
      </x:c>
      <x:c r="F325" s="45" t="str">
        <x:v>2026-09-16 16:00:05 GMT-4 US close</x:v>
      </x:c>
      <x:c r="G325" s="45" t="str">
        <x:v>시가총액 확인 범위</x:v>
      </x:c>
      <x:c r="H325" s="45" t="str">
        <x:v>unavailable_due_to_unreconciled_provider_market_cap_and_share_count; not computed from Q2 weighted-average shares</x:v>
      </x:c>
      <x:c r="I325" s="45" t="str">
        <x:v>원문 범위</x:v>
      </x:c>
      <x:c r="J325" s="49" t="n">
        <x:v>46282</x:v>
      </x:c>
      <x:c r="K325"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5"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5" s="45" t="str">
        <x:v>XPeng.market_cap_status</x:v>
      </x:c>
    </x:row>
    <x:row r="326" ht="192" hidden="0" customHeight="1">
      <x:c r="A326" s="2"/>
      <x:c r="B326" s="2"/>
      <x:c r="C326" s="45" t="str">
        <x:v>XPeng</x:v>
      </x:c>
      <x:c r="D326" s="46" t="str">
        <x:v>XPEV</x:v>
      </x:c>
      <x:c r="E326" s="45" t="str">
        <x:v>CNY</x:v>
      </x:c>
      <x:c r="F326" s="45" t="str">
        <x:v>2026 Q2, 3 months</x:v>
      </x:c>
      <x:c r="G326" s="45" t="str">
        <x:v>실적 기간</x:v>
      </x:c>
      <x:c r="H326" s="45" t="str">
        <x:v>2026 Q2, 3 months</x:v>
      </x:c>
      <x:c r="I326" s="45" t="str">
        <x:v>원문 범위</x:v>
      </x:c>
      <x:c r="J326" s="49" t="n">
        <x:v>46282</x:v>
      </x:c>
      <x:c r="K326"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6"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6" s="45" t="str">
        <x:v>XPeng.financial_period</x:v>
      </x:c>
    </x:row>
    <x:row r="327" ht="192" hidden="0" customHeight="1">
      <x:c r="A327" s="2"/>
      <x:c r="B327" s="2"/>
      <x:c r="C327" s="45" t="str">
        <x:v>XPeng</x:v>
      </x:c>
      <x:c r="D327" s="46" t="str">
        <x:v>XPEV</x:v>
      </x:c>
      <x:c r="E327" s="45" t="str">
        <x:v>CNY</x:v>
      </x:c>
      <x:c r="F327" s="45" t="str">
        <x:v>2026 Q2, 3 months</x:v>
      </x:c>
      <x:c r="G327" s="45" t="str">
        <x:v>재무상태표 날짜</x:v>
      </x:c>
      <x:c r="H327" s="45" t="str">
        <x:v>2026-06-30</x:v>
      </x:c>
      <x:c r="I327" s="45" t="str">
        <x:v>원문 범위</x:v>
      </x:c>
      <x:c r="J327" s="49" t="n">
        <x:v>46282</x:v>
      </x:c>
      <x:c r="K327"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7"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7" s="45" t="str">
        <x:v>XPeng.balance_sheet_date</x:v>
      </x:c>
    </x:row>
    <x:row r="328" ht="192" hidden="0" customHeight="1">
      <x:c r="A328" s="2"/>
      <x:c r="B328" s="2"/>
      <x:c r="C328" s="45" t="str">
        <x:v>XPeng</x:v>
      </x:c>
      <x:c r="D328" s="46" t="str">
        <x:v>XPEV</x:v>
      </x:c>
      <x:c r="E328" s="45" t="str">
        <x:v>CNY</x:v>
      </x:c>
      <x:c r="F328" s="45" t="str">
        <x:v>2026 Q2, 3 months</x:v>
      </x:c>
      <x:c r="G328" s="45" t="str">
        <x:v>monetary_unit</x:v>
      </x:c>
      <x:c r="H328" s="45" t="str">
        <x:v>million</x:v>
      </x:c>
      <x:c r="I328" s="45" t="str">
        <x:v>원문 범위</x:v>
      </x:c>
      <x:c r="J328" s="49" t="n">
        <x:v>46282</x:v>
      </x:c>
      <x:c r="K328"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8"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8" s="45" t="str">
        <x:v>XPeng.monetary_unit</x:v>
      </x:c>
    </x:row>
    <x:row r="329" ht="192" hidden="0" customHeight="1">
      <x:c r="A329" s="2"/>
      <x:c r="B329" s="2"/>
      <x:c r="C329" s="45" t="str">
        <x:v>XPeng</x:v>
      </x:c>
      <x:c r="D329" s="46" t="str">
        <x:v>XPEV</x:v>
      </x:c>
      <x:c r="E329" s="45" t="str">
        <x:v>CNY</x:v>
      </x:c>
      <x:c r="F329" s="45" t="str">
        <x:v>2026 Q2, 3 months</x:v>
      </x:c>
      <x:c r="G329" s="45" t="str">
        <x:v>financial_audit_status</x:v>
      </x:c>
      <x:c r="H329" s="45" t="str">
        <x:v>unaudited</x:v>
      </x:c>
      <x:c r="I329" s="45" t="str">
        <x:v>원문 범위</x:v>
      </x:c>
      <x:c r="J329" s="49" t="n">
        <x:v>46282</x:v>
      </x:c>
      <x:c r="K329"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29"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29" s="45" t="str">
        <x:v>XPeng.financial_audit_status</x:v>
      </x:c>
    </x:row>
    <x:row r="330" ht="192" hidden="0" customHeight="1">
      <x:c r="A330" s="2"/>
      <x:c r="B330" s="2"/>
      <x:c r="C330" s="45" t="str">
        <x:v>XPeng</x:v>
      </x:c>
      <x:c r="D330" s="46" t="str">
        <x:v>XPEV</x:v>
      </x:c>
      <x:c r="E330" s="45" t="str">
        <x:v>CNY</x:v>
      </x:c>
      <x:c r="F330" s="45" t="str">
        <x:v>2026 Q2, 3 months</x:v>
      </x:c>
      <x:c r="G330" s="45" t="str">
        <x:v>영업이익률</x:v>
      </x:c>
      <x:c r="H330" s="51" t="n">
        <x:v>-5.786839305287543</x:v>
      </x:c>
      <x:c r="I330" s="45" t="str">
        <x:v>%</x:v>
      </x:c>
      <x:c r="J330" s="49" t="n">
        <x:v>46282</x:v>
      </x:c>
      <x:c r="K330"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0"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0" s="45" t="str">
        <x:v>XPeng.operating_margin_percent</x:v>
      </x:c>
    </x:row>
    <x:row r="331" ht="192" hidden="0" customHeight="1">
      <x:c r="A331" s="2"/>
      <x:c r="B331" s="2"/>
      <x:c r="C331" s="45" t="str">
        <x:v>XPeng</x:v>
      </x:c>
      <x:c r="D331" s="46" t="str">
        <x:v>XPEV</x:v>
      </x:c>
      <x:c r="E331" s="45" t="str">
        <x:v>CNY</x:v>
      </x:c>
      <x:c r="F331" s="45" t="str">
        <x:v>2026 Q2, 3 months</x:v>
      </x:c>
      <x:c r="G331" s="45" t="str">
        <x:v>순이익</x:v>
      </x:c>
      <x:c r="H331" s="51" t="n">
        <x:v>-1337.064</x:v>
      </x:c>
      <x:c r="I331" s="45" t="str">
        <x:v>백만</x:v>
      </x:c>
      <x:c r="J331" s="49" t="n">
        <x:v>46282</x:v>
      </x:c>
      <x:c r="K331"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1"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1" s="45" t="str">
        <x:v>XPeng.net_income</x:v>
      </x:c>
    </x:row>
    <x:row r="332" ht="192" hidden="0" customHeight="1">
      <x:c r="A332" s="2"/>
      <x:c r="B332" s="2"/>
      <x:c r="C332" s="45" t="str">
        <x:v>XPeng</x:v>
      </x:c>
      <x:c r="D332" s="46" t="str">
        <x:v>XPEV</x:v>
      </x:c>
      <x:c r="E332" s="45" t="str">
        <x:v>CNY</x:v>
      </x:c>
      <x:c r="F332" s="45" t="str">
        <x:v>2026 Q2, 3 months</x:v>
      </x:c>
      <x:c r="G332" s="45" t="str">
        <x:v>휴머노이드 매출 공개 범위</x:v>
      </x:c>
      <x:c r="H332" s="45" t="str">
        <x:v>not_separately_disclosed</x:v>
      </x:c>
      <x:c r="I332" s="45" t="str">
        <x:v>원문 범위</x:v>
      </x:c>
      <x:c r="J332" s="49" t="n">
        <x:v>46282</x:v>
      </x:c>
      <x:c r="K332"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2"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2" s="45" t="str">
        <x:v>XPeng.humanoid_revenue_disclosed</x:v>
      </x:c>
    </x:row>
    <x:row r="333" ht="192" hidden="0" customHeight="1">
      <x:c r="A333" s="2"/>
      <x:c r="B333" s="2"/>
      <x:c r="C333" s="45" t="str">
        <x:v>XPeng</x:v>
      </x:c>
      <x:c r="D333" s="46" t="str">
        <x:v>XPEV</x:v>
      </x:c>
      <x:c r="E333" s="45" t="str">
        <x:v>CNY</x:v>
      </x:c>
      <x:c r="F333" s="45" t="str">
        <x:v>2026 Q2, 3 months</x:v>
      </x:c>
      <x:c r="G333" s="45" t="str">
        <x:v>해석 조건·한계</x:v>
      </x:c>
      <x:c r="H333"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I333" s="45" t="str">
        <x:v>원문 범위</x:v>
      </x:c>
      <x:c r="J333" s="49" t="n">
        <x:v>46282</x:v>
      </x:c>
      <x:c r="K333"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3"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3" s="45" t="str">
        <x:v>XPeng.notes</x:v>
      </x:c>
    </x:row>
    <x:row r="334" ht="192" hidden="0" customHeight="1">
      <x:c r="A334" s="2"/>
      <x:c r="B334" s="2"/>
      <x:c r="C334" s="45" t="str">
        <x:v>XPeng</x:v>
      </x:c>
      <x:c r="D334" s="46" t="str">
        <x:v>XPEV</x:v>
      </x:c>
      <x:c r="E334" s="45" t="str">
        <x:v>CNY</x:v>
      </x:c>
      <x:c r="F334" s="45" t="str">
        <x:v>2026 Q2, 3 months</x:v>
      </x:c>
      <x:c r="G334" s="45" t="str">
        <x:v>현금 범위</x:v>
      </x:c>
      <x:c r="H334" s="45" t="str">
        <x:v>cash and cash equivalents only</x:v>
      </x:c>
      <x:c r="I334" s="45" t="str">
        <x:v>원문 범위</x:v>
      </x:c>
      <x:c r="J334" s="49" t="n">
        <x:v>46282</x:v>
      </x:c>
      <x:c r="K334"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4"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4" s="45" t="str">
        <x:v>XPeng.cash_scope</x:v>
      </x:c>
    </x:row>
    <x:row r="335" ht="192" hidden="0" customHeight="1">
      <x:c r="A335" s="2"/>
      <x:c r="B335" s="2"/>
      <x:c r="C335" s="45" t="str">
        <x:v>XPeng</x:v>
      </x:c>
      <x:c r="D335" s="46" t="str">
        <x:v>XPEV</x:v>
      </x:c>
      <x:c r="E335" s="45" t="str">
        <x:v>CNY</x:v>
      </x:c>
      <x:c r="F335" s="45" t="str">
        <x:v>2026 Q2, 3 months</x:v>
      </x:c>
      <x:c r="G335" s="45" t="str">
        <x:v>차입금 범위</x:v>
      </x:c>
      <x:c r="H335" s="45" t="str">
        <x:v>short-term borrowings + current/noncurrent long-term borrowings + current/noncurrent finance lease liabilities; excludes operating leases</x:v>
      </x:c>
      <x:c r="I335" s="45" t="str">
        <x:v>원문 범위</x:v>
      </x:c>
      <x:c r="J335" s="49" t="n">
        <x:v>46282</x:v>
      </x:c>
      <x:c r="K335"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5"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5" s="45" t="str">
        <x:v>XPeng.debt_scope</x:v>
      </x:c>
    </x:row>
    <x:row r="336" ht="192" hidden="0" customHeight="1">
      <x:c r="A336" s="2"/>
      <x:c r="B336" s="2"/>
      <x:c r="C336" s="45" t="str">
        <x:v>XPeng</x:v>
      </x:c>
      <x:c r="D336" s="46" t="str">
        <x:v>XPEV</x:v>
      </x:c>
      <x:c r="E336" s="45" t="str">
        <x:v>CNY</x:v>
      </x:c>
      <x:c r="F336" s="45" t="str">
        <x:v>2026 Q2, 3 months</x:v>
      </x:c>
      <x:c r="G336" s="45" t="str">
        <x:v>현금흐름 기간</x:v>
      </x:c>
      <x:c r="H336" s="45" t="str">
        <x:v>2026 Q2</x:v>
      </x:c>
      <x:c r="I336" s="45" t="str">
        <x:v>원문 범위</x:v>
      </x:c>
      <x:c r="J336" s="49" t="n">
        <x:v>46282</x:v>
      </x:c>
      <x:c r="K336"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6"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6" s="45" t="str">
        <x:v>XPeng.cash_flow_period</x:v>
      </x:c>
    </x:row>
    <x:row r="337" ht="192" hidden="0" customHeight="1">
      <x:c r="A337" s="2"/>
      <x:c r="B337" s="2"/>
      <x:c r="C337" s="45" t="str">
        <x:v>XPeng</x:v>
      </x:c>
      <x:c r="D337" s="46" t="str">
        <x:v>XPEV</x:v>
      </x:c>
      <x:c r="E337" s="45" t="str">
        <x:v>CNY</x:v>
      </x:c>
      <x:c r="F337" s="45" t="str">
        <x:v>2026 Q2, 3 months</x:v>
      </x:c>
      <x:c r="G337" s="45" t="str">
        <x:v>cash_flow_verification_status</x:v>
      </x:c>
      <x:c r="H337" s="45" t="str">
        <x:v>not_verified_from_full_cash_flow_statement</x:v>
      </x:c>
      <x:c r="I337" s="45" t="str">
        <x:v>원문 범위</x:v>
      </x:c>
      <x:c r="J337" s="49" t="n">
        <x:v>46282</x:v>
      </x:c>
      <x:c r="K337"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7"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7" s="45" t="str">
        <x:v>XPeng.cash_flow_verification_status</x:v>
      </x:c>
    </x:row>
    <x:row r="338" ht="192" hidden="0" customHeight="1">
      <x:c r="A338" s="2"/>
      <x:c r="B338" s="2"/>
      <x:c r="C338" s="45" t="str">
        <x:v>XPeng</x:v>
      </x:c>
      <x:c r="D338" s="46" t="str">
        <x:v>XPEV</x:v>
      </x:c>
      <x:c r="E338" s="45" t="str">
        <x:v>CNY</x:v>
      </x:c>
      <x:c r="F338" s="45" t="str">
        <x:v>2026 Q2, 3 months</x:v>
      </x:c>
      <x:c r="G338" s="45" t="str">
        <x:v>cash_position_reported</x:v>
      </x:c>
      <x:c r="H338" s="51" t="n">
        <x:v>40480</x:v>
      </x:c>
      <x:c r="I338" s="45" t="str">
        <x:v>백만</x:v>
      </x:c>
      <x:c r="J338" s="49" t="n">
        <x:v>46282</x:v>
      </x:c>
      <x:c r="K338"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8"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8" s="45" t="str">
        <x:v>XPeng.cash_position_reported</x:v>
      </x:c>
    </x:row>
    <x:row r="339" ht="192" hidden="0" customHeight="1">
      <x:c r="A339" s="2"/>
      <x:c r="B339" s="2"/>
      <x:c r="C339" s="45" t="str">
        <x:v>XPeng</x:v>
      </x:c>
      <x:c r="D339" s="46" t="str">
        <x:v>XPEV</x:v>
      </x:c>
      <x:c r="E339" s="45" t="str">
        <x:v>CNY</x:v>
      </x:c>
      <x:c r="F339" s="45" t="str">
        <x:v>2026 Q2, 3 months</x:v>
      </x:c>
      <x:c r="G339" s="45" t="str">
        <x:v>cash_position_reported_scope</x:v>
      </x:c>
      <x:c r="H339" s="45" t="str">
        <x:v>cash and cash equivalents, restricted cash, short-term investments, current/noncurrent time deposits including restricted deposits</x:v>
      </x:c>
      <x:c r="I339" s="45" t="str">
        <x:v>원문 범위</x:v>
      </x:c>
      <x:c r="J339" s="49" t="n">
        <x:v>46282</x:v>
      </x:c>
      <x:c r="K339"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39"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39" s="45" t="str">
        <x:v>XPeng.cash_position_reported_scope</x:v>
      </x:c>
    </x:row>
    <x:row r="340" ht="192" hidden="0" customHeight="1">
      <x:c r="A340" s="2"/>
      <x:c r="B340" s="2"/>
      <x:c r="C340" s="45" t="str">
        <x:v>XPeng</x:v>
      </x:c>
      <x:c r="D340" s="46" t="str">
        <x:v>XPEV</x:v>
      </x:c>
      <x:c r="E340" s="45" t="str">
        <x:v>CNY</x:v>
      </x:c>
      <x:c r="F340" s="45" t="str">
        <x:v>2026 Q2, 3 months</x:v>
      </x:c>
      <x:c r="G340" s="45" t="str">
        <x:v>cash_position_components</x:v>
      </x:c>
      <x:c r="H340" s="45" t="str">
        <x:v>cash_and_cash_equivalents: 14238.387
restricted_cash: 6924.327
short_term_deposits: 7780.96
restricted_short_term_deposits: 1207.694
short_term_investments: 1537.877
long_term_deposits_current_portion: 4485.471
restricted_long_term_deposits_current_portion: 0
long_term_deposits_noncurrent: 2815.695
restricted_long_term_deposits_noncurrent: 1488.663</x:v>
      </x:c>
      <x:c r="I340" s="45" t="str">
        <x:v>원문 범위</x:v>
      </x:c>
      <x:c r="J340" s="49" t="n">
        <x:v>46282</x:v>
      </x:c>
      <x:c r="K340"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0"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0" s="45" t="str">
        <x:v>XPeng.cash_position_components</x:v>
      </x:c>
    </x:row>
    <x:row r="341" ht="192" hidden="0" customHeight="1">
      <x:c r="A341" s="2"/>
      <x:c r="B341" s="2"/>
      <x:c r="C341" s="45" t="str">
        <x:v>XPeng</x:v>
      </x:c>
      <x:c r="D341" s="46" t="str">
        <x:v>XPEV</x:v>
      </x:c>
      <x:c r="E341" s="45" t="str">
        <x:v>CNY</x:v>
      </x:c>
      <x:c r="F341" s="45" t="str">
        <x:v>2026 Q2, 3 months</x:v>
      </x:c>
      <x:c r="G341" s="45" t="str">
        <x:v>debt_components</x:v>
      </x:c>
      <x:c r="H341" s="45" t="str">
        <x:v>short_term_borrowings: 10070
long_term_borrowings_current_portion: 706.156
long_term_borrowings_noncurrent: 8983.337
finance_lease_liabilities_current: 75.91
finance_lease_liabilities_noncurrent: 4649.369</x:v>
      </x:c>
      <x:c r="I341" s="45" t="str">
        <x:v>원문 범위</x:v>
      </x:c>
      <x:c r="J341" s="49" t="n">
        <x:v>46282</x:v>
      </x:c>
      <x:c r="K341"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1"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1" s="45" t="str">
        <x:v>XPeng.debt_components</x:v>
      </x:c>
    </x:row>
    <x:row r="342" ht="192" hidden="0" customHeight="1">
      <x:c r="A342" s="2"/>
      <x:c r="B342" s="2"/>
      <x:c r="C342" s="45" t="str">
        <x:v>XPeng</x:v>
      </x:c>
      <x:c r="D342" s="46" t="str">
        <x:v>XPEV</x:v>
      </x:c>
      <x:c r="E342" s="45" t="str">
        <x:v>CNY</x:v>
      </x:c>
      <x:c r="F342" s="45" t="str">
        <x:v>2026 Q2, 3 months</x:v>
      </x:c>
      <x:c r="G342" s="45" t="str">
        <x:v>borrowings_excluding_finance_leases</x:v>
      </x:c>
      <x:c r="H342" s="51" t="n">
        <x:v>19759.493</x:v>
      </x:c>
      <x:c r="I342" s="45" t="str">
        <x:v>백만</x:v>
      </x:c>
      <x:c r="J342" s="49" t="n">
        <x:v>46282</x:v>
      </x:c>
      <x:c r="K342"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2"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2" s="45" t="str">
        <x:v>XPeng.borrowings_excluding_finance_leases</x:v>
      </x:c>
    </x:row>
    <x:row r="343" ht="192" hidden="0" customHeight="1">
      <x:c r="A343" s="2"/>
      <x:c r="B343" s="2"/>
      <x:c r="C343" s="45" t="str">
        <x:v>XPeng</x:v>
      </x:c>
      <x:c r="D343" s="46" t="str">
        <x:v>XPEV</x:v>
      </x:c>
      <x:c r="E343" s="45" t="str">
        <x:v>CNY</x:v>
      </x:c>
      <x:c r="F343" s="45" t="str">
        <x:v>2026 Q2, 3 months</x:v>
      </x:c>
      <x:c r="G343" s="45" t="str">
        <x:v>finance_lease_liabilities</x:v>
      </x:c>
      <x:c r="H343" s="51" t="n">
        <x:v>4725.279</x:v>
      </x:c>
      <x:c r="I343" s="45" t="str">
        <x:v>백만</x:v>
      </x:c>
      <x:c r="J343" s="49" t="n">
        <x:v>46282</x:v>
      </x:c>
      <x:c r="K343"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3"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3" s="45" t="str">
        <x:v>XPeng.finance_lease_liabilities</x:v>
      </x:c>
    </x:row>
    <x:row r="344" ht="192" hidden="0" customHeight="1">
      <x:c r="A344" s="2"/>
      <x:c r="B344" s="2"/>
      <x:c r="C344" s="45" t="str">
        <x:v>XPeng</x:v>
      </x:c>
      <x:c r="D344" s="46" t="str">
        <x:v>XPEV</x:v>
      </x:c>
      <x:c r="E344" s="45" t="str">
        <x:v>CNY</x:v>
      </x:c>
      <x:c r="F344" s="45" t="str">
        <x:v>2026 Q2, 3 months</x:v>
      </x:c>
      <x:c r="G344" s="45" t="str">
        <x:v>operating_lease_liabilities_excluded</x:v>
      </x:c>
      <x:c r="H344" s="51" t="n">
        <x:v>2374.193</x:v>
      </x:c>
      <x:c r="I344" s="45" t="str">
        <x:v>백만</x:v>
      </x:c>
      <x:c r="J344" s="49" t="n">
        <x:v>46282</x:v>
      </x:c>
      <x:c r="K344"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4"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4" s="45" t="str">
        <x:v>XPeng.operating_lease_liabilities_excluded</x:v>
      </x:c>
    </x:row>
    <x:row r="345" ht="192" hidden="0" customHeight="1">
      <x:c r="A345" s="2"/>
      <x:c r="B345" s="2"/>
      <x:c r="C345" s="45" t="str">
        <x:v>XPeng</x:v>
      </x:c>
      <x:c r="D345" s="46" t="str">
        <x:v>XPEV</x:v>
      </x:c>
      <x:c r="E345" s="45" t="str">
        <x:v>CNY</x:v>
      </x:c>
      <x:c r="F345" s="45" t="str">
        <x:v>2026 Q2, 3 months</x:v>
      </x:c>
      <x:c r="G345" s="45" t="str">
        <x:v>total_liabilities</x:v>
      </x:c>
      <x:c r="H345" s="51" t="n">
        <x:v>74577.464</x:v>
      </x:c>
      <x:c r="I345" s="45" t="str">
        <x:v>백만</x:v>
      </x:c>
      <x:c r="J345" s="49" t="n">
        <x:v>46282</x:v>
      </x:c>
      <x:c r="K345"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5"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5" s="45" t="str">
        <x:v>XPeng.total_liabilities</x:v>
      </x:c>
    </x:row>
    <x:row r="346" ht="192" hidden="0" customHeight="1">
      <x:c r="A346" s="2"/>
      <x:c r="B346" s="2"/>
      <x:c r="C346" s="45" t="str">
        <x:v>XPeng</x:v>
      </x:c>
      <x:c r="D346" s="46" t="str">
        <x:v>XPEV</x:v>
      </x:c>
      <x:c r="E346" s="45" t="str">
        <x:v>CNY</x:v>
      </x:c>
      <x:c r="F346" s="45" t="str">
        <x:v>2026 Q2, 3 months</x:v>
      </x:c>
      <x:c r="G346" s="45" t="str">
        <x:v>기준일 발행주식 수 검증 여부</x:v>
      </x:c>
      <x:c r="H346" s="45" t="str"/>
      <x:c r="I346" s="45" t="str">
        <x:v>원문 범위</x:v>
      </x:c>
      <x:c r="J346" s="49" t="n">
        <x:v>46282</x:v>
      </x:c>
      <x:c r="K346"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6"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6" s="45" t="str">
        <x:v>XPeng.current_share_count_verified</x:v>
      </x:c>
    </x:row>
    <x:row r="347" ht="192" hidden="0" customHeight="1">
      <x:c r="A347" s="2"/>
      <x:c r="B347" s="2"/>
      <x:c r="C347" s="45" t="str">
        <x:v>XPeng</x:v>
      </x:c>
      <x:c r="D347" s="46" t="str">
        <x:v>XPEV</x:v>
      </x:c>
      <x:c r="E347" s="45" t="str">
        <x:v>CNY</x:v>
      </x:c>
      <x:c r="F347" s="45" t="str">
        <x:v>2026 Q2, 3 months</x:v>
      </x:c>
      <x:c r="G347" s="45" t="str">
        <x:v>발행주식 수</x:v>
      </x:c>
      <x:c r="H347" s="45" t="str">
        <x:v>미확인</x:v>
      </x:c>
      <x:c r="I347" s="45" t="str">
        <x:v>주</x:v>
      </x:c>
      <x:c r="J347" s="49" t="n">
        <x:v>46282</x:v>
      </x:c>
      <x:c r="K347"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7"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7" s="45" t="str">
        <x:v>XPeng.issued_shares</x:v>
      </x:c>
    </x:row>
    <x:row r="348" ht="192" hidden="0" customHeight="1">
      <x:c r="A348" s="2"/>
      <x:c r="B348" s="2"/>
      <x:c r="C348" s="45" t="str">
        <x:v>XPeng</x:v>
      </x:c>
      <x:c r="D348" s="46" t="str">
        <x:v>XPEV</x:v>
      </x:c>
      <x:c r="E348" s="45" t="str">
        <x:v>CNY</x:v>
      </x:c>
      <x:c r="F348" s="45" t="str">
        <x:v>2026 Q2, 3 months</x:v>
      </x:c>
      <x:c r="G348" s="45" t="str">
        <x:v>EPS용 기본 가중평균 주식 수</x:v>
      </x:c>
      <x:c r="H348" s="51" t="n">
        <x:v>1912.73438</x:v>
      </x:c>
      <x:c r="I348" s="45" t="str">
        <x:v>백만 주</x:v>
      </x:c>
      <x:c r="J348" s="49" t="n">
        <x:v>46282</x:v>
      </x:c>
      <x:c r="K348"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8"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8" s="45" t="str">
        <x:v>XPeng.eps_basic_weighted_average_shares_million</x:v>
      </x:c>
    </x:row>
    <x:row r="349" ht="192" hidden="0" customHeight="1">
      <x:c r="A349" s="2"/>
      <x:c r="B349" s="2"/>
      <x:c r="C349" s="45" t="str">
        <x:v>XPeng</x:v>
      </x:c>
      <x:c r="D349" s="46" t="str">
        <x:v>XPEV</x:v>
      </x:c>
      <x:c r="E349" s="45" t="str">
        <x:v>CNY</x:v>
      </x:c>
      <x:c r="F349" s="45" t="str">
        <x:v>2026 Q2, 3 months</x:v>
      </x:c>
      <x:c r="G349" s="45" t="str">
        <x:v>EPS용 희석 가중평균 주식 수</x:v>
      </x:c>
      <x:c r="H349" s="51" t="n">
        <x:v>1912.73438</x:v>
      </x:c>
      <x:c r="I349" s="45" t="str">
        <x:v>백만 주</x:v>
      </x:c>
      <x:c r="J349" s="49" t="n">
        <x:v>46282</x:v>
      </x:c>
      <x:c r="K349"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49"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49" s="45" t="str">
        <x:v>XPeng.eps_diluted_weighted_average_shares_million</x:v>
      </x:c>
    </x:row>
    <x:row r="350" ht="192" hidden="0" customHeight="1">
      <x:c r="A350" s="2"/>
      <x:c r="B350" s="2"/>
      <x:c r="C350" s="45" t="str">
        <x:v>XPeng</x:v>
      </x:c>
      <x:c r="D350" s="46" t="str">
        <x:v>XPEV</x:v>
      </x:c>
      <x:c r="E350" s="45" t="str">
        <x:v>CNY</x:v>
      </x:c>
      <x:c r="F350" s="45" t="str">
        <x:v>2026 Q2, 3 months</x:v>
      </x:c>
      <x:c r="G350" s="45" t="str">
        <x:v>eps_basic_weighted_average_ads_million</x:v>
      </x:c>
      <x:c r="H350" s="51" t="n">
        <x:v>956.36719</x:v>
      </x:c>
      <x:c r="I350" s="45" t="str">
        <x:v>백만</x:v>
      </x:c>
      <x:c r="J350" s="49" t="n">
        <x:v>46282</x:v>
      </x:c>
      <x:c r="K350"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0"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0" s="45" t="str">
        <x:v>XPeng.eps_basic_weighted_average_ads_million</x:v>
      </x:c>
    </x:row>
    <x:row r="351" ht="192" hidden="0" customHeight="1">
      <x:c r="A351" s="2"/>
      <x:c r="B351" s="2"/>
      <x:c r="C351" s="45" t="str">
        <x:v>XPeng</x:v>
      </x:c>
      <x:c r="D351" s="46" t="str">
        <x:v>XPEV</x:v>
      </x:c>
      <x:c r="E351" s="45" t="str">
        <x:v>CNY</x:v>
      </x:c>
      <x:c r="F351" s="45" t="str">
        <x:v>2026 Q2, 3 months</x:v>
      </x:c>
      <x:c r="G351" s="45" t="str">
        <x:v>eps_diluted_weighted_average_ads_million</x:v>
      </x:c>
      <x:c r="H351" s="51" t="n">
        <x:v>956.36719</x:v>
      </x:c>
      <x:c r="I351" s="45" t="str">
        <x:v>백만</x:v>
      </x:c>
      <x:c r="J351" s="49" t="n">
        <x:v>46282</x:v>
      </x:c>
      <x:c r="K351"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1"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1" s="45" t="str">
        <x:v>XPeng.eps_diluted_weighted_average_ads_million</x:v>
      </x:c>
    </x:row>
    <x:row r="352" ht="192" hidden="0" customHeight="1">
      <x:c r="A352" s="2"/>
      <x:c r="B352" s="2"/>
      <x:c r="C352" s="45" t="str">
        <x:v>XPeng</x:v>
      </x:c>
      <x:c r="D352" s="46" t="str">
        <x:v>XPEV</x:v>
      </x:c>
      <x:c r="E352" s="45" t="str">
        <x:v>CNY</x:v>
      </x:c>
      <x:c r="F352" s="45" t="str">
        <x:v>2026 Q2, 3 months</x:v>
      </x:c>
      <x:c r="G352" s="45" t="str">
        <x:v>ordinary_shares_per_ads</x:v>
      </x:c>
      <x:c r="H352" s="53" t="n">
        <x:v>2</x:v>
      </x:c>
      <x:c r="I352" s="45" t="str">
        <x:v>주</x:v>
      </x:c>
      <x:c r="J352" s="49" t="n">
        <x:v>46282</x:v>
      </x:c>
      <x:c r="K352"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2"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2" s="45" t="str">
        <x:v>XPeng.ordinary_shares_per_ads</x:v>
      </x:c>
    </x:row>
    <x:row r="353" ht="192" hidden="0" customHeight="1">
      <x:c r="A353" s="2"/>
      <x:c r="B353" s="2"/>
      <x:c r="C353" s="45" t="str">
        <x:v>XPeng</x:v>
      </x:c>
      <x:c r="D353" s="46" t="str">
        <x:v>XPEV</x:v>
      </x:c>
      <x:c r="E353" s="45" t="str">
        <x:v>CNY</x:v>
      </x:c>
      <x:c r="F353" s="45" t="str">
        <x:v>2026 Q2, 3 months</x:v>
      </x:c>
      <x:c r="G353" s="45" t="str">
        <x:v>share_based_compensation_expense</x:v>
      </x:c>
      <x:c r="H353" s="51" t="n">
        <x:v>147.403</x:v>
      </x:c>
      <x:c r="I353" s="45" t="str">
        <x:v>백만</x:v>
      </x:c>
      <x:c r="J353" s="49" t="n">
        <x:v>46282</x:v>
      </x:c>
      <x:c r="K353"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3"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3" s="45" t="str">
        <x:v>XPeng.share_based_compensation_expense</x:v>
      </x:c>
    </x:row>
    <x:row r="354" ht="192" hidden="0" customHeight="1">
      <x:c r="A354" s="2"/>
      <x:c r="B354" s="2"/>
      <x:c r="C354" s="45" t="str">
        <x:v>XPeng</x:v>
      </x:c>
      <x:c r="D354" s="46" t="str">
        <x:v>XPEV</x:v>
      </x:c>
      <x:c r="E354" s="45" t="str">
        <x:v>CNY</x:v>
      </x:c>
      <x:c r="F354" s="45" t="str">
        <x:v>2026 Q2, 3 months</x:v>
      </x:c>
      <x:c r="G354" s="45" t="str">
        <x:v>share_based_compensation_period</x:v>
      </x:c>
      <x:c r="H354" s="45" t="str">
        <x:v>2026 Q2</x:v>
      </x:c>
      <x:c r="I354" s="45" t="str">
        <x:v>원문 범위</x:v>
      </x:c>
      <x:c r="J354" s="49" t="n">
        <x:v>46282</x:v>
      </x:c>
      <x:c r="K354"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4"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4" s="45" t="str">
        <x:v>XPeng.share_based_compensation_period</x:v>
      </x:c>
    </x:row>
    <x:row r="355" ht="192" hidden="0" customHeight="1">
      <x:c r="A355" s="2"/>
      <x:c r="B355" s="2"/>
      <x:c r="C355" s="45" t="str">
        <x:v>XPeng</x:v>
      </x:c>
      <x:c r="D355" s="46" t="str">
        <x:v>XPEV</x:v>
      </x:c>
      <x:c r="E355" s="45" t="str">
        <x:v>CNY</x:v>
      </x:c>
      <x:c r="F355" s="45" t="str">
        <x:v>2026 Q2, 3 months</x:v>
      </x:c>
      <x:c r="G355" s="45" t="str">
        <x:v>vehicle_revenue</x:v>
      </x:c>
      <x:c r="H355" s="51" t="n">
        <x:v>17046.476</x:v>
      </x:c>
      <x:c r="I355" s="45" t="str">
        <x:v>백만</x:v>
      </x:c>
      <x:c r="J355" s="49" t="n">
        <x:v>46282</x:v>
      </x:c>
      <x:c r="K355"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5"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5" s="45" t="str">
        <x:v>XPeng.vehicle_revenue</x:v>
      </x:c>
    </x:row>
    <x:row r="356" ht="192" hidden="0" customHeight="1">
      <x:c r="A356" s="2"/>
      <x:c r="B356" s="2"/>
      <x:c r="C356" s="45" t="str">
        <x:v>XPeng</x:v>
      </x:c>
      <x:c r="D356" s="46" t="str">
        <x:v>XPEV</x:v>
      </x:c>
      <x:c r="E356" s="45" t="str">
        <x:v>CNY</x:v>
      </x:c>
      <x:c r="F356" s="45" t="str">
        <x:v>2026 Q2, 3 months</x:v>
      </x:c>
      <x:c r="G356" s="45" t="str">
        <x:v>services_and_other_revenue</x:v>
      </x:c>
      <x:c r="H356" s="51" t="n">
        <x:v>2697.117</x:v>
      </x:c>
      <x:c r="I356" s="45" t="str">
        <x:v>백만</x:v>
      </x:c>
      <x:c r="J356" s="49" t="n">
        <x:v>46282</x:v>
      </x:c>
      <x:c r="K356"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6"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6" s="45" t="str">
        <x:v>XPeng.services_and_other_revenue</x:v>
      </x:c>
    </x:row>
    <x:row r="357" ht="192" hidden="0" customHeight="1">
      <x:c r="A357" s="2"/>
      <x:c r="B357" s="2"/>
      <x:c r="C357" s="45" t="str">
        <x:v>XPeng</x:v>
      </x:c>
      <x:c r="D357" s="46" t="str">
        <x:v>XPEV</x:v>
      </x:c>
      <x:c r="E357" s="45" t="str">
        <x:v>CNY</x:v>
      </x:c>
      <x:c r="F357" s="45" t="str">
        <x:v>2026 Q2, 3 months</x:v>
      </x:c>
      <x:c r="G357" s="45" t="str">
        <x:v>robotics_financing</x:v>
      </x:c>
      <x:c r="H357" s="45" t="str">
        <x:v>agreement_date: 2026-08-24
dogotix_specific_subscription_usd_million: 900
broader_robotics_announcement_raise_usd_million_lower_bound: 900
post_money_valuation_usd_million_lower_bound: 6300
post_money_valuation_is_strict_lower_bound: 
transaction_closing_verified: 
controlling_ownership_after_close: retained; company announcement
consolidation_after_close: continue existing consolidation
parent_ownership_percentage_after_close: 미확인</x:v>
      </x:c>
      <x:c r="I357" s="45" t="str">
        <x:v>원문 범위</x:v>
      </x:c>
      <x:c r="J357" s="49" t="n">
        <x:v>46282</x:v>
      </x:c>
      <x:c r="K357"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7"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7" s="45" t="str">
        <x:v>XPeng.robotics_financing</x:v>
      </x:c>
    </x:row>
    <x:row r="358" ht="192" hidden="0" customHeight="1">
      <x:c r="A358" s="2"/>
      <x:c r="B358" s="2"/>
      <x:c r="C358" s="45" t="str">
        <x:v>XPeng</x:v>
      </x:c>
      <x:c r="D358" s="46" t="str">
        <x:v>XPEV</x:v>
      </x:c>
      <x:c r="E358" s="45" t="str">
        <x:v>CNY</x:v>
      </x:c>
      <x:c r="F358" s="45" t="str">
        <x:v>2026 Q2, 3 months</x:v>
      </x:c>
      <x:c r="G358" s="45" t="str">
        <x:v>operational_maturity</x:v>
      </x:c>
      <x:c r="H358" s="45" t="str">
        <x:v>2026-09-08 production line commissioned, manufacturer announcement; volume production planned end-2026 and market deliveries planned 2027</x:v>
      </x:c>
      <x:c r="I358" s="45" t="str">
        <x:v>원문 범위</x:v>
      </x:c>
      <x:c r="J358" s="49" t="n">
        <x:v>46282</x:v>
      </x:c>
      <x:c r="K358" s="45" t="str">
        <x:v>https://ir.xiaopeng.com/news-releases/news-release-details/xpeng-reports-second-quarter-2026-unaudited-financial-results
https://www.xpeng.com/news/01a03797fccda01e0de68a02a256006a
https://www.google.com/finance/quote/XPEV:NYSE
https://www.investing.com/equities/xpeng-inc-historical-data
https://www.xpeng.com/news/01a080371029a057bc8e8a02a2c6012b</x:v>
      </x:c>
      <x:c r="L358" s="45" t="str">
        <x:v>보고통화 CNY와 미국 ADS 가격 USD, 홍콩 Class A 가격 HKD를 구분한다. ADS 1주=Class A 보통주 2주.
price는 Google Finance의 Closed Sep 16 16:00:05 GMT-4와 Investing.com의 Sep 16 역사 시세 본문에서 10.34달러를 교차 확인했다. 검색 요약의 10.44는 본문과 달라 사용하지 않았다.
cash는 현금 및 현금성자산만 포함한다. 40.48bn CNY headline cash position에는 제한현금·제한예금·기간예금·단기투자가 포함된다.
debt는 차입금 19759.493과 금융리스 4725.279의 합계. 운영리스 2374.193, 매입채무·지급어음 등은 포함하지 않는다. 총부채 74577.464와 다르다.
모회사 전체 매출·손실에는 자동차 등 기존 사업이 포함되며 로봇 단독 손익은 별도 미공개다.
Dogotix 조건부 신주인수계약은 900m USD로 Q2 발표 Recent Developments에 기재됐다. 로봇사업 홍보 발표는 &gt;900m USD와 &gt;6.3bn USD post-money를 제시하므로 계약별 범위를 구분한다.
로봇사업 투자 종결 후에도 XPENG의 지배 지분 유지와 기존 연결 계속이 예정되어 있다. 종결·입금 완료 확인은 아니다.
주식보상비용은 희석 가능성의 경로이며 실제 발행주식 수 증가와 동일한 수치가 아니다. EPS 기본·희석 평균이 같은 사실도 미래 희석이 없다는 뜻은 아니다.
현재 총발행주식·보상 미행사 물량·전환증권별 최대 잠재 희석을 완전히 재검증하지 못했으므로 정확한 희석률은 제시하지 않는다.
Q2 공개 보도자료에서 완전한 현금흐름표를 확인하지 못했으므로 OCF·capex·FCF를 추정치로 채우지 않았다.</x:v>
      </x:c>
      <x:c r="M358" s="45" t="str">
        <x:v>XPeng.operational_maturity</x:v>
      </x:c>
    </x:row>
    <x:row r="359" ht="24" hidden="0" customHeight="1">
      <x:c r="A359" s="2"/>
      <x:c r="B359" s="2"/>
      <x:c r="C359" s="45" t="str">
        <x:v>Wonik Robotics</x:v>
      </x:c>
      <x:c r="D359" s="46" t="str">
        <x:v>비상장; 원익홀딩스 030530과 구분</x:v>
      </x:c>
      <x:c r="E359" s="45" t="str">
        <x:v>KRW</x:v>
      </x:c>
      <x:c r="F359" s="45" t="str">
        <x:v>FY2025</x:v>
      </x:c>
      <x:c r="G359" s="45" t="str">
        <x:v>매출</x:v>
      </x:c>
      <x:c r="H359" s="51" t="n">
        <x:v>32607</x:v>
      </x:c>
      <x:c r="I359" s="45" t="str">
        <x:v>백만</x:v>
      </x:c>
      <x:c r="J359" s="49" t="n">
        <x:v>46282</x:v>
      </x:c>
      <x:c r="K359" s="45" t="str">
        <x:v>https://www.wonikholdings.kr/ir_01_Detail.do?no_no=34&amp;page=1</x:v>
      </x:c>
      <x:c r="L359" s="45" t="str">
        <x:v>법인전체매출;로봇손이나휴머노이드부문매출이아님;현재지분율아님; 백만원. 부채총계는 이자부 차입금과 다름. 사업보고서 인쇄123–124쪽.</x:v>
      </x:c>
      <x:c r="M359" s="45" t="str">
        <x:v>Wonik Robotics.revenue</x:v>
      </x:c>
    </x:row>
    <x:row r="360" ht="24" hidden="0" customHeight="1">
      <x:c r="A360" s="2"/>
      <x:c r="B360" s="2"/>
      <x:c r="C360" s="45" t="str">
        <x:v>Wonik Robotics</x:v>
      </x:c>
      <x:c r="D360" s="46" t="str">
        <x:v>비상장; 원익홀딩스 030530과 구분</x:v>
      </x:c>
      <x:c r="E360" s="45" t="str">
        <x:v>KRW</x:v>
      </x:c>
      <x:c r="F360" s="45" t="str">
        <x:v>FY2025</x:v>
      </x:c>
      <x:c r="G360" s="45" t="str">
        <x:v>실적 기간</x:v>
      </x:c>
      <x:c r="H360" s="45" t="str">
        <x:v>FY2025</x:v>
      </x:c>
      <x:c r="I360" s="45" t="str">
        <x:v>원문 범위</x:v>
      </x:c>
      <x:c r="J360" s="49" t="n">
        <x:v>46282</x:v>
      </x:c>
      <x:c r="K360" s="45" t="str">
        <x:v>https://www.wonikholdings.kr/ir_01_Detail.do?no_no=34&amp;page=1</x:v>
      </x:c>
      <x:c r="L360" s="45" t="str">
        <x:v>법인전체매출;로봇손이나휴머노이드부문매출이아님;현재지분율아님; 백만원. 부채총계는 이자부 차입금과 다름. 사업보고서 인쇄123–124쪽.</x:v>
      </x:c>
      <x:c r="M360" s="45" t="str">
        <x:v>Wonik Robotics.financial_period</x:v>
      </x:c>
    </x:row>
    <x:row r="361" ht="24" hidden="0" customHeight="1">
      <x:c r="A361" s="2"/>
      <x:c r="B361" s="2"/>
      <x:c r="C361" s="45" t="str">
        <x:v>Wonik Robotics</x:v>
      </x:c>
      <x:c r="D361" s="46" t="str">
        <x:v>비상장; 원익홀딩스 030530과 구분</x:v>
      </x:c>
      <x:c r="E361" s="45" t="str">
        <x:v>KRW</x:v>
      </x:c>
      <x:c r="F361" s="45" t="str">
        <x:v>FY2025</x:v>
      </x:c>
      <x:c r="G361" s="45" t="str">
        <x:v>재무상태표 날짜</x:v>
      </x:c>
      <x:c r="H361" s="45" t="str">
        <x:v>2025-12-31</x:v>
      </x:c>
      <x:c r="I361" s="45" t="str">
        <x:v>원문 범위</x:v>
      </x:c>
      <x:c r="J361" s="49" t="n">
        <x:v>46282</x:v>
      </x:c>
      <x:c r="K361" s="45" t="str">
        <x:v>https://www.wonikholdings.kr/ir_01_Detail.do?no_no=34&amp;page=1</x:v>
      </x:c>
      <x:c r="L361" s="45" t="str">
        <x:v>법인전체매출;로봇손이나휴머노이드부문매출이아님;현재지분율아님; 백만원. 부채총계는 이자부 차입금과 다름. 사업보고서 인쇄123–124쪽.</x:v>
      </x:c>
      <x:c r="M361" s="45" t="str">
        <x:v>Wonik Robotics.balance_sheet_date</x:v>
      </x:c>
    </x:row>
    <x:row r="362" ht="24" hidden="0" customHeight="1">
      <x:c r="A362" s="2"/>
      <x:c r="B362" s="2"/>
      <x:c r="C362" s="45" t="str">
        <x:v>Wonik Robotics</x:v>
      </x:c>
      <x:c r="D362" s="46" t="str">
        <x:v>비상장; 원익홀딩스 030530과 구분</x:v>
      </x:c>
      <x:c r="E362" s="45" t="str">
        <x:v>KRW</x:v>
      </x:c>
      <x:c r="F362" s="45" t="str">
        <x:v>FY2025</x:v>
      </x:c>
      <x:c r="G362" s="45" t="str">
        <x:v>순이익</x:v>
      </x:c>
      <x:c r="H362" s="51" t="n">
        <x:v>-2794</x:v>
      </x:c>
      <x:c r="I362" s="45" t="str">
        <x:v>백만</x:v>
      </x:c>
      <x:c r="J362" s="49" t="n">
        <x:v>46282</x:v>
      </x:c>
      <x:c r="K362" s="45" t="str">
        <x:v>https://www.wonikholdings.kr/ir_01_Detail.do?no_no=34&amp;page=1</x:v>
      </x:c>
      <x:c r="L362" s="45" t="str">
        <x:v>법인전체매출;로봇손이나휴머노이드부문매출이아님;현재지분율아님; 백만원. 부채총계는 이자부 차입금과 다름. 사업보고서 인쇄123–124쪽.</x:v>
      </x:c>
      <x:c r="M362" s="45" t="str">
        <x:v>Wonik Robotics.net_income</x:v>
      </x:c>
    </x:row>
    <x:row r="363" ht="24" hidden="0" customHeight="1">
      <x:c r="A363" s="2"/>
      <x:c r="B363" s="2"/>
      <x:c r="C363" s="45" t="str">
        <x:v>Wonik Robotics</x:v>
      </x:c>
      <x:c r="D363" s="46" t="str">
        <x:v>비상장; 원익홀딩스 030530과 구분</x:v>
      </x:c>
      <x:c r="E363" s="45" t="str">
        <x:v>KRW</x:v>
      </x:c>
      <x:c r="F363" s="45" t="str">
        <x:v>FY2025</x:v>
      </x:c>
      <x:c r="G363" s="45" t="str">
        <x:v>자산총계</x:v>
      </x:c>
      <x:c r="H363" s="51" t="n">
        <x:v>7695</x:v>
      </x:c>
      <x:c r="I363" s="45" t="str">
        <x:v>백만</x:v>
      </x:c>
      <x:c r="J363" s="49" t="n">
        <x:v>46282</x:v>
      </x:c>
      <x:c r="K363" s="45" t="str">
        <x:v>https://www.wonikholdings.kr/ir_01_Detail.do?no_no=34&amp;page=1</x:v>
      </x:c>
      <x:c r="L363" s="45" t="str">
        <x:v>법인전체매출;로봇손이나휴머노이드부문매출이아님;현재지분율아님; 백만원. 부채총계는 이자부 차입금과 다름. 사업보고서 인쇄123–124쪽.</x:v>
      </x:c>
      <x:c r="M363" s="45" t="str">
        <x:v>Wonik Robotics.assets</x:v>
      </x:c>
    </x:row>
    <x:row r="364" ht="24" hidden="0" customHeight="1">
      <x:c r="A364" s="2"/>
      <x:c r="B364" s="2"/>
      <x:c r="C364" s="45" t="str">
        <x:v>Wonik Robotics</x:v>
      </x:c>
      <x:c r="D364" s="46" t="str">
        <x:v>비상장; 원익홀딩스 030530과 구분</x:v>
      </x:c>
      <x:c r="E364" s="45" t="str">
        <x:v>KRW</x:v>
      </x:c>
      <x:c r="F364" s="45" t="str">
        <x:v>FY2025</x:v>
      </x:c>
      <x:c r="G364" s="45" t="str">
        <x:v>부채총계</x:v>
      </x:c>
      <x:c r="H364" s="51" t="n">
        <x:v>3924</x:v>
      </x:c>
      <x:c r="I364" s="45" t="str">
        <x:v>백만</x:v>
      </x:c>
      <x:c r="J364" s="49" t="n">
        <x:v>46282</x:v>
      </x:c>
      <x:c r="K364" s="45" t="str">
        <x:v>https://www.wonikholdings.kr/ir_01_Detail.do?no_no=34&amp;page=1</x:v>
      </x:c>
      <x:c r="L364" s="45" t="str">
        <x:v>법인전체매출;로봇손이나휴머노이드부문매출이아님;현재지분율아님; 백만원. 부채총계는 이자부 차입금과 다름. 사업보고서 인쇄123–124쪽.</x:v>
      </x:c>
      <x:c r="M364" s="45" t="str">
        <x:v>Wonik Robotics.liabilities</x:v>
      </x:c>
    </x:row>
    <x:row r="365" ht="24" hidden="0" customHeight="1">
      <x:c r="A365" s="2"/>
      <x:c r="B365" s="2"/>
      <x:c r="C365" s="45" t="str">
        <x:v>Wonik Robotics</x:v>
      </x:c>
      <x:c r="D365" s="46" t="str">
        <x:v>비상장; 원익홀딩스 030530과 구분</x:v>
      </x:c>
      <x:c r="E365" s="45" t="str">
        <x:v>KRW</x:v>
      </x:c>
      <x:c r="F365" s="45" t="str">
        <x:v>FY2025</x:v>
      </x:c>
      <x:c r="G365" s="45" t="str">
        <x:v>원익홀딩스 소유 지분율</x:v>
      </x:c>
      <x:c r="H365" s="51" t="n">
        <x:v>96.66</x:v>
      </x:c>
      <x:c r="I365" s="45" t="str">
        <x:v>%</x:v>
      </x:c>
      <x:c r="J365" s="49" t="n">
        <x:v>46282</x:v>
      </x:c>
      <x:c r="K365" s="45" t="str">
        <x:v>https://www.wonikholdings.kr/ir_01_Detail.do?no_no=34&amp;page=1</x:v>
      </x:c>
      <x:c r="L365" s="45" t="str">
        <x:v>법인전체매출;로봇손이나휴머노이드부문매출이아님;현재지분율아님; 백만원. 부채총계는 이자부 차입금과 다름. 사업보고서 인쇄123–124쪽.</x:v>
      </x:c>
      <x:c r="M365" s="45" t="str">
        <x:v>Wonik Robotics.ownership_by_wonik_holdings_percent</x:v>
      </x:c>
    </x:row>
    <x:row r="366" ht="24" hidden="0" customHeight="1">
      <x:c r="A366" s="2"/>
      <x:c r="B366" s="2"/>
      <x:c r="C366" s="45" t="str">
        <x:v>Wonik Robotics</x:v>
      </x:c>
      <x:c r="D366" s="46" t="str">
        <x:v>비상장; 원익홀딩스 030530과 구분</x:v>
      </x:c>
      <x:c r="E366" s="45" t="str">
        <x:v>KRW</x:v>
      </x:c>
      <x:c r="F366" s="45" t="str">
        <x:v>FY2025</x:v>
      </x:c>
      <x:c r="G366" s="45" t="str">
        <x:v>휴머노이드 매출</x:v>
      </x:c>
      <x:c r="H366" s="45" t="str">
        <x:v>미확인</x:v>
      </x:c>
      <x:c r="I366" s="45" t="str">
        <x:v>원문 범위</x:v>
      </x:c>
      <x:c r="J366" s="49" t="n">
        <x:v>46282</x:v>
      </x:c>
      <x:c r="K366" s="45" t="str">
        <x:v>https://www.wonikholdings.kr/ir_01_Detail.do?no_no=34&amp;page=1</x:v>
      </x:c>
      <x:c r="L366" s="45" t="str">
        <x:v>법인전체매출;로봇손이나휴머노이드부문매출이아님;현재지분율아님; 백만원. 부채총계는 이자부 차입금과 다름. 사업보고서 인쇄123–124쪽.</x:v>
      </x:c>
      <x:c r="M366" s="45" t="str">
        <x:v>Wonik Robotics.humanoid_revenue</x:v>
      </x:c>
    </x:row>
    <x:row r="367" ht="24" hidden="0" customHeight="1">
      <x:c r="A367" s="2"/>
      <x:c r="B367" s="2"/>
      <x:c r="C367" s="45" t="str">
        <x:v>Wonik Robotics</x:v>
      </x:c>
      <x:c r="D367" s="46" t="str">
        <x:v>비상장; 원익홀딩스 030530과 구분</x:v>
      </x:c>
      <x:c r="E367" s="45" t="str">
        <x:v>KRW</x:v>
      </x:c>
      <x:c r="F367" s="45" t="str">
        <x:v>FY2025</x:v>
      </x:c>
      <x:c r="G367" s="45" t="str">
        <x:v>해석 조건·한계</x:v>
      </x:c>
      <x:c r="H367" s="45" t="str">
        <x:v>법인전체매출;로봇손이나휴머노이드부문매출이아님;현재지분율아님; 백만원. 부채총계는 이자부 차입금과 다름. 사업보고서 인쇄123–124쪽.</x:v>
      </x:c>
      <x:c r="I367" s="45" t="str">
        <x:v>원문 범위</x:v>
      </x:c>
      <x:c r="J367" s="49" t="n">
        <x:v>46282</x:v>
      </x:c>
      <x:c r="K367" s="45" t="str">
        <x:v>https://www.wonikholdings.kr/ir_01_Detail.do?no_no=34&amp;page=1</x:v>
      </x:c>
      <x:c r="L367" s="45" t="str">
        <x:v>법인전체매출;로봇손이나휴머노이드부문매출이아님;현재지분율아님; 백만원. 부채총계는 이자부 차입금과 다름. 사업보고서 인쇄123–124쪽.</x:v>
      </x:c>
      <x:c r="M367" s="45" t="str">
        <x:v>Wonik Robotics.notes</x:v>
      </x:c>
    </x:row>
  </x:sheetData>
  <x:pageMargins left="0.7" right="0.7" top="0.75" bottom="0.75" header="0.3" footer="0.3"/>
  <x:tableParts count="1">
    <x:tablePart xmlns:r="http://schemas.openxmlformats.org/officeDocument/2006/relationships" r:id="R750873813d1d4fbb"/>
  </x:tableParts>
</x:worksheet>
</file>

<file path=xl/worksheets/sheet10.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2" hidden="0" customWidth="1"/>
    <x:col min="2" max="2" width="2" hidden="0" customWidth="1"/>
    <x:col min="3" max="3" width="14" hidden="0" customWidth="1"/>
    <x:col min="4" max="4" width="66" hidden="0" customWidth="1"/>
    <x:col min="5" max="5" width="29" hidden="0" customWidth="1"/>
    <x:col min="6" max="6" width="18" hidden="0" customWidth="1"/>
    <x:col min="7" max="7" width="18" hidden="0" customWidth="1"/>
    <x:col min="8" max="8" width="16" hidden="0" customWidth="1"/>
    <x:col min="9" max="9" width="26" hidden="0" customWidth="1"/>
    <x:col min="10" max="10" width="89" hidden="0" customWidth="1"/>
    <x:col min="11" max="11" width="93" hidden="0" customWidth="1"/>
    <x:col min="12" max="12" width="67" hidden="0" customWidth="1"/>
    <x:col min="13" max="13" width="28" hidden="0" customWidth="1"/>
  </x:cols>
  <x:sheetData>
    <x:row r="1" ht="24" customHeight="1">
      <x:c r="A1" s="2"/>
      <x:c r="B1" s="2"/>
      <x:c r="C1" s="2"/>
      <x:c r="D1" s="2"/>
      <x:c r="E1" s="2"/>
      <x:c r="F1" s="2"/>
      <x:c r="G1" s="2"/>
      <x:c r="H1" s="2"/>
      <x:c r="I1" s="2"/>
      <x:c r="J1" s="2"/>
      <x:c r="K1" s="2"/>
      <x:c r="L1" s="2"/>
      <x:c r="M1" s="2"/>
    </x:row>
    <x:row r="2" ht="24" customHeight="1">
      <x:c r="A2" s="2"/>
      <x:c r="B2" s="2"/>
      <x:c r="C2" s="3" t="str">
        <x:v>출처</x:v>
      </x:c>
      <x:c r="D2" s="3"/>
      <x:c r="E2" s="3"/>
      <x:c r="F2" s="3"/>
      <x:c r="G2" s="3"/>
      <x:c r="H2" s="3"/>
      <x:c r="I2" s="3"/>
      <x:c r="J2" s="3"/>
      <x:c r="K2" s="3"/>
      <x:c r="L2" s="3"/>
      <x:c r="M2" s="3"/>
    </x:row>
    <x:row r="3" ht="24" customHeight="1">
      <x:c r="A3" s="2"/>
      <x:c r="B3" s="2"/>
      <x:c r="C3" s="2"/>
      <x:c r="D3" s="2"/>
      <x:c r="E3" s="2"/>
      <x:c r="F3" s="2"/>
      <x:c r="G3" s="2"/>
      <x:c r="H3" s="2"/>
      <x:c r="I3" s="2"/>
      <x:c r="J3" s="2"/>
      <x:c r="K3" s="2"/>
      <x:c r="L3" s="2"/>
      <x:c r="M3" s="2"/>
    </x:row>
    <x:row r="4" ht="24" customHeight="1">
      <x:c r="A4" s="2"/>
      <x:c r="B4" s="2"/>
      <x:c r="C4" s="4" t="str">
        <x:v>원문 URL 중복을 제거한 통합 출처입니다. 보고서의 S번호와 연결합니다.</x:v>
      </x:c>
      <x:c r="D4" s="2"/>
      <x:c r="E4" s="2"/>
      <x:c r="F4" s="2"/>
      <x:c r="G4" s="2"/>
      <x:c r="H4" s="2"/>
      <x:c r="I4" s="2"/>
      <x:c r="J4" s="2"/>
      <x:c r="K4" s="2"/>
      <x:c r="L4" s="2"/>
      <x:c r="M4" s="2"/>
    </x:row>
    <x:row r="5" ht="24" customHeight="1">
      <x:c r="A5" s="2"/>
      <x:c r="B5" s="2"/>
      <x:c r="C5" s="2"/>
      <x:c r="D5" s="2"/>
      <x:c r="E5" s="2"/>
      <x:c r="F5" s="2"/>
      <x:c r="G5" s="2"/>
      <x:c r="H5" s="2"/>
      <x:c r="I5" s="2"/>
      <x:c r="J5" s="2"/>
      <x:c r="K5" s="2"/>
      <x:c r="L5" s="2"/>
      <x:c r="M5" s="2"/>
    </x:row>
    <x:row r="6" ht="34" customHeight="1">
      <x:c r="A6" s="2"/>
      <x:c r="B6" s="2"/>
      <x:c r="C6" s="8" t="str">
        <x:v>ID</x:v>
      </x:c>
      <x:c r="D6" s="8" t="str">
        <x:v>자료명</x:v>
      </x:c>
      <x:c r="E6" s="8" t="str">
        <x:v>발행 주체</x:v>
      </x:c>
      <x:c r="F6" s="8" t="str">
        <x:v>공개일</x:v>
      </x:c>
      <x:c r="G6" s="8" t="str">
        <x:v>확인일</x:v>
      </x:c>
      <x:c r="H6" s="8" t="str">
        <x:v>언어</x:v>
      </x:c>
      <x:c r="I6" s="8" t="str">
        <x:v>성격</x:v>
      </x:c>
      <x:c r="J6" s="8" t="str">
        <x:v>지원 주장·관측</x:v>
      </x:c>
      <x:c r="K6" s="8" t="str">
        <x:v>URL</x:v>
      </x:c>
      <x:c r="L6" s="8" t="str">
        <x:v>한계</x:v>
      </x:c>
      <x:c r="M6" s="8" t="str">
        <x:v>사용 장</x:v>
      </x:c>
    </x:row>
    <x:row r="7" ht="36" hidden="0" customHeight="1">
      <x:c r="A7" s="2"/>
      <x:c r="B7" s="2"/>
      <x:c r="C7" s="45" t="str">
        <x:v>S001</x:v>
      </x:c>
      <x:c r="D7" s="45" t="str">
        <x:v>Q2 2026 Update</x:v>
      </x:c>
      <x:c r="E7" s="45" t="str">
        <x:v>Tesla Investor Relations</x:v>
      </x:c>
      <x:c r="F7" s="49" t="n">
        <x:v>46225</x:v>
      </x:c>
      <x:c r="G7" s="49" t="n">
        <x:v>46282</x:v>
      </x:c>
      <x:c r="H7" s="45" t="str">
        <x:v>en</x:v>
      </x:c>
      <x:c r="I7" s="45" t="str">
        <x:v>1차 자료</x:v>
      </x:c>
      <x:c r="J7" s="45" t="str">
        <x:v>원본 PDF 10,552,832바이트 내려받아 pdftotext 확인. 6쪽 Optimus Academy·건설 상태, 10쪽 2026 생산 예상. 웹 도구에서는 파일 크기 제한.</x:v>
      </x:c>
      <x:c r="K7" s="45" t="str">
        <x:v>https://assets-ir.tesla.com/tesla-contents/IR/TSLA-Q2-2026-Update.pdf</x:v>
      </x:c>
      <x:c r="L7" s="45" t="str"/>
      <x:c r="M7" s="45" t="str">
        <x:v>자료 검증
8장 투자
4장 상용화</x:v>
      </x:c>
    </x:row>
    <x:row r="8" ht="48" hidden="0" customHeight="1">
      <x:c r="A8" s="2"/>
      <x:c r="B8" s="2"/>
      <x:c r="C8" s="45" t="str">
        <x:v>S002</x:v>
      </x:c>
      <x:c r="D8" s="45" t="str">
        <x:v>BMW Group to deploy humanoid robots in production in Germany for the first time</x:v>
      </x:c>
      <x:c r="E8" s="45" t="str">
        <x:v>BMW Group</x:v>
      </x:c>
      <x:c r="F8" s="49" t="n">
        <x:v>46080</x:v>
      </x:c>
      <x:c r="G8" s="49" t="n">
        <x:v>46282</x:v>
      </x:c>
      <x:c r="H8" s="45" t="str">
        <x:v>en</x:v>
      </x:c>
      <x:c r="I8" s="45" t="str">
        <x:v>1차 자료</x:v>
      </x:c>
      <x:c r="J8" s="45" t="str">
        <x:v>고객 자료. Figure 02 10개월·9만부품·1250시간·3만차량 기여, AEON 시험·계획 구분.</x:v>
      </x:c>
      <x:c r="K8" s="45" t="str">
        <x:v>https://www.press.bmwgroup.com/global/article/detail/T0455864EN/bmw-group-to-deploy-humanoid-robots-in-production-in-germany-for-the-first-time?language=en</x:v>
      </x:c>
      <x:c r="L8" s="45" t="str"/>
      <x:c r="M8" s="45" t="str">
        <x:v>자료 검증
원본 미디어
7장 공급망
4장 상용화</x:v>
      </x:c>
    </x:row>
    <x:row r="9" ht="48" hidden="0" customHeight="1">
      <x:c r="A9" s="2"/>
      <x:c r="B9" s="2"/>
      <x:c r="C9" s="45" t="str">
        <x:v>S003</x:v>
      </x:c>
      <x:c r="D9" s="45" t="str">
        <x:v>F.02 Contributed to the Production of 30,000 Cars at BMW</x:v>
      </x:c>
      <x:c r="E9" s="45" t="str">
        <x:v>Figure</x:v>
      </x:c>
      <x:c r="F9" s="49" t="n">
        <x:v>45980</x:v>
      </x:c>
      <x:c r="G9" s="49" t="n">
        <x:v>46282</x:v>
      </x:c>
      <x:c r="H9" s="45" t="str">
        <x:v>en</x:v>
      </x:c>
      <x:c r="I9" s="45" t="str">
        <x:v>1차 자료</x:v>
      </x:c>
      <x:c r="J9" s="45" t="str">
        <x:v>11개월 표현은 BMW10개월과 보존. 99%·0개입은 목표. 전완부 고장과 설계 수정 설명.</x:v>
      </x:c>
      <x:c r="K9" s="45" t="str">
        <x:v>https://www.figure.ai/news/production-at-bmw</x:v>
      </x:c>
      <x:c r="L9" s="45" t="str"/>
      <x:c r="M9" s="45" t="str">
        <x:v>자료 검증
원본 미디어
7장 공급망
4장 상용화</x:v>
      </x:c>
    </x:row>
    <x:row r="10" ht="24" hidden="0" customHeight="1">
      <x:c r="A10" s="2"/>
      <x:c r="B10" s="2"/>
      <x:c r="C10" s="45" t="str">
        <x:v>S004</x:v>
      </x:c>
      <x:c r="D10" s="45" t="str">
        <x:v>F.03 Arrives at BMW</x:v>
      </x:c>
      <x:c r="E10" s="45" t="str">
        <x:v>Figure</x:v>
      </x:c>
      <x:c r="F10" s="49" t="n">
        <x:v>46203</x:v>
      </x:c>
      <x:c r="G10" s="49" t="n">
        <x:v>46282</x:v>
      </x:c>
      <x:c r="H10" s="45" t="str">
        <x:v>en</x:v>
      </x:c>
      <x:c r="I10" s="45" t="str">
        <x:v>1차 자료</x:v>
      </x:c>
      <x:c r="J10" s="45" t="str">
        <x:v>Figure03·Helix02 sequencing 첫 현장 시연. Figure02 누적 실적 승계 금지.</x:v>
      </x:c>
      <x:c r="K10" s="45" t="str">
        <x:v>https://www.figure.ai/news/f-03-at-bmw</x:v>
      </x:c>
      <x:c r="L10" s="45" t="str"/>
      <x:c r="M10" s="45" t="str">
        <x:v>자료 검증
4장 상용화</x:v>
      </x:c>
    </x:row>
    <x:row r="11" ht="36" hidden="0" customHeight="1">
      <x:c r="A11" s="2"/>
      <x:c r="B11" s="2"/>
      <x:c r="C11" s="45" t="str">
        <x:v>S005</x:v>
      </x:c>
      <x:c r="D11" s="45" t="str">
        <x:v>GXO Signs Industry-First Multi-Year Agreement with Agility Robotics</x:v>
      </x:c>
      <x:c r="E11" s="45" t="str">
        <x:v>GXO Logistics</x:v>
      </x:c>
      <x:c r="F11" s="49" t="n">
        <x:v>45470</x:v>
      </x:c>
      <x:c r="G11" s="49" t="n">
        <x:v>46282</x:v>
      </x:c>
      <x:c r="H11" s="45" t="str">
        <x:v>en</x:v>
      </x:c>
      <x:c r="I11" s="45" t="str">
        <x:v>1차 자료</x:v>
      </x:c>
      <x:c r="J11" s="45" t="str">
        <x:v>고객발표 RaaS·SPANX·AMR컨베이어연계·매출발생 설명. 계약금액 미공개.</x:v>
      </x:c>
      <x:c r="K11" s="45" t="str">
        <x:v>https://investors.gxo.com/news-releases/news-release-details/gxo-signs-industry-first-multi-year-agreement-agility-robotics</x:v>
      </x:c>
      <x:c r="L11" s="45" t="str"/>
      <x:c r="M11" s="45" t="str">
        <x:v>자료 검증
7장 공급망
4장 상용화</x:v>
      </x:c>
    </x:row>
    <x:row r="12" ht="36" hidden="0" customHeight="1">
      <x:c r="A12" s="2"/>
      <x:c r="B12" s="2"/>
      <x:c r="C12" s="45" t="str">
        <x:v>S006</x:v>
      </x:c>
      <x:c r="D12" s="45" t="str">
        <x:v>Agility Unveils Digit 5 Humanoid Robot Built for Cooperatively Safe Work at Scale</x:v>
      </x:c>
      <x:c r="E12" s="45" t="str">
        <x:v>Agility Robotics</x:v>
      </x:c>
      <x:c r="F12" s="49" t="n">
        <x:v>46280</x:v>
      </x:c>
      <x:c r="G12" s="49" t="n">
        <x:v>46282</x:v>
      </x:c>
      <x:c r="H12" s="45" t="str">
        <x:v>en</x:v>
      </x:c>
      <x:c r="I12" s="45" t="str">
        <x:v>1차 자료</x:v>
      </x:c>
      <x:c r="J12" s="45" t="str">
        <x:v>Digit4 누적65000시간, GXO10만토트·작업중98%정확도 제조사수치. Digit5는2027출시계획,3억달러주문마일스톤조건.</x:v>
      </x:c>
      <x:c r="K12" s="45" t="str">
        <x:v>https://www.agilityrobotics.com/content/agility-unveils-digit-5-humanoid-robot-built-for-cooperatively-safe-work-at-scale</x:v>
      </x:c>
      <x:c r="L12" s="45" t="str"/>
      <x:c r="M12" s="45" t="str">
        <x:v>자료 검증
7장 공급망
4장 상용화</x:v>
      </x:c>
    </x:row>
    <x:row r="13" ht="24" hidden="0" customHeight="1">
      <x:c r="A13" s="2"/>
      <x:c r="B13" s="2"/>
      <x:c r="C13" s="45" t="str">
        <x:v>S007</x:v>
      </x:c>
      <x:c r="D13" s="45" t="str">
        <x:v>Digit 5: Safety that unlocks scale</x:v>
      </x:c>
      <x:c r="E13" s="45" t="str">
        <x:v>Agility Robotics</x:v>
      </x:c>
      <x:c r="F13" s="49" t="str">
        <x:v>미확인</x:v>
      </x:c>
      <x:c r="G13" s="49" t="n">
        <x:v>46282</x:v>
      </x:c>
      <x:c r="H13" s="45" t="str">
        <x:v>en</x:v>
      </x:c>
      <x:c r="I13" s="45" t="str">
        <x:v>1차 자료</x:v>
      </x:c>
      <x:c r="J13" s="45" t="str">
        <x:v>개발중·일부애니메이션·예비사양주석 명시.</x:v>
      </x:c>
      <x:c r="K13" s="45" t="str">
        <x:v>https://www.agilityrobotics.com/solutions/digit-5</x:v>
      </x:c>
      <x:c r="L13" s="45" t="str"/>
      <x:c r="M13" s="45" t="str">
        <x:v>자료 검증
4장 상용화</x:v>
      </x:c>
    </x:row>
    <x:row r="14" ht="36" hidden="0" customHeight="1">
      <x:c r="A14" s="2"/>
      <x:c r="B14" s="2"/>
      <x:c r="C14" s="45" t="str">
        <x:v>S008</x:v>
      </x:c>
      <x:c r="D14" s="45" t="str">
        <x:v>Agility Robotics to Go Public Through Merger with Churchill Capital Corp XI</x:v>
      </x:c>
      <x:c r="E14" s="45" t="str">
        <x:v>Agility Robotics / Churchill Capital Corp XI</x:v>
      </x:c>
      <x:c r="F14" s="49" t="n">
        <x:v>46197</x:v>
      </x:c>
      <x:c r="G14" s="49" t="n">
        <x:v>46282</x:v>
      </x:c>
      <x:c r="H14" s="45" t="str">
        <x:v>en</x:v>
      </x:c>
      <x:c r="I14" s="45" t="str">
        <x:v>1차 자료</x:v>
      </x:c>
      <x:c r="J14" s="45" t="str">
        <x:v>합병계약 발표. AGLT는종결후예정, CCXI현상장. $3억주문조건·$6.2억조달예상환매가정.</x:v>
      </x:c>
      <x:c r="K14" s="45" t="str">
        <x:v>https://www.agilityrobotics.com/content/agility-robotics-to-go-public-through-merger-with-churchill-capital-corp-xi</x:v>
      </x:c>
      <x:c r="L14" s="45" t="str"/>
      <x:c r="M14" s="45" t="str">
        <x:v>자료 검증
7장 공급망
4장 상용화</x:v>
      </x:c>
    </x:row>
    <x:row r="15" ht="24" hidden="0" customHeight="1">
      <x:c r="A15" s="2"/>
      <x:c r="B15" s="2"/>
      <x:c r="C15" s="45" t="str">
        <x:v>S009</x:v>
      </x:c>
      <x:c r="D15" s="45" t="str">
        <x:v>Digital Factory Campus Berlin: AI and humanoid robots</x:v>
      </x:c>
      <x:c r="E15" s="45" t="str">
        <x:v>Mercedes-Benz Group</x:v>
      </x:c>
      <x:c r="F15" s="49" t="n">
        <x:v>45734</x:v>
      </x:c>
      <x:c r="G15" s="49" t="n">
        <x:v>46282</x:v>
      </x:c>
      <x:c r="H15" s="45" t="str">
        <x:v>en</x:v>
      </x:c>
      <x:c r="I15" s="45" t="str">
        <x:v>1차 자료</x:v>
      </x:c>
      <x:c r="J15" s="45" t="str">
        <x:v>고객직접자료. 원격조작·AR학습·자율운영개발단계·투자와구매구분.</x:v>
      </x:c>
      <x:c r="K15" s="45" t="str">
        <x:v>https://group.mercedes-benz.com/company/production/production-network/mbdfc-humanoid-robots.html</x:v>
      </x:c>
      <x:c r="L15" s="45" t="str"/>
      <x:c r="M15" s="45" t="str">
        <x:v>자료 검증
4장 상용화</x:v>
      </x:c>
    </x:row>
    <x:row r="16" ht="24" hidden="0" customHeight="1">
      <x:c r="A16" s="2"/>
      <x:c r="B16" s="2"/>
      <x:c r="C16" s="45" t="str">
        <x:v>S010</x:v>
      </x:c>
      <x:c r="D16" s="45" t="str">
        <x:v>Welcome to Robot Park: Where Apptronik’s Apollo Goes to Work Training the Next Generation of Humanoid Robot Intelligence</x:v>
      </x:c>
      <x:c r="E16" s="45" t="str">
        <x:v>Apptronik</x:v>
      </x:c>
      <x:c r="F16" s="49" t="n">
        <x:v>46203</x:v>
      </x:c>
      <x:c r="G16" s="49" t="n">
        <x:v>46282</x:v>
      </x:c>
      <x:c r="H16" s="45" t="str">
        <x:v>en</x:v>
      </x:c>
      <x:c r="I16" s="45" t="str">
        <x:v>1차 자료</x:v>
      </x:c>
      <x:c r="J16" s="45" t="str">
        <x:v>Apollo2이족/바퀴·훈련플랫폼·원격조작+자율데이터수집. Apollo3차기상업제품구분.</x:v>
      </x:c>
      <x:c r="K16" s="45" t="str">
        <x:v>https://apptronik.com/news-collection/welcome-to-robot-park-where-apptroniks-apollo-goes-to-work</x:v>
      </x:c>
      <x:c r="L16" s="45" t="str"/>
      <x:c r="M16" s="45" t="str">
        <x:v>자료 검증
4장 상용화</x:v>
      </x:c>
    </x:row>
    <x:row r="17" ht="36" hidden="0" customHeight="1">
      <x:c r="A17" s="2"/>
      <x:c r="B17" s="2"/>
      <x:c r="C17" s="45" t="str">
        <x:v>S011</x:v>
      </x:c>
      <x:c r="D17" s="45" t="str">
        <x:v>Apptronik and Jabil Collaborate to Scale Production of Apollo Humanoid Robots and Deploy in Manufacturing Operations</x:v>
      </x:c>
      <x:c r="E17" s="45" t="str">
        <x:v>Apptronik / Jabil 공동 발표</x:v>
      </x:c>
      <x:c r="F17" s="49" t="n">
        <x:v>45713</x:v>
      </x:c>
      <x:c r="G17" s="49" t="n">
        <x:v>46282</x:v>
      </x:c>
      <x:c r="H17" s="45" t="str">
        <x:v>en</x:v>
      </x:c>
      <x:c r="I17" s="45" t="str">
        <x:v>1차 자료</x:v>
      </x:c>
      <x:c r="J17" s="45" t="str">
        <x:v>공동 발표 제조·현장검증협력. 생산량·자동화율·Jabil수익미확인.</x:v>
      </x:c>
      <x:c r="K17" s="45" t="str">
        <x:v>https://apptronik.com/news-collection/apptronik-and-jabil-collaborate-to-scale-production</x:v>
      </x:c>
      <x:c r="L17" s="45" t="str"/>
      <x:c r="M17" s="45" t="str">
        <x:v>자료 검증
7장 공급망
4장 상용화</x:v>
      </x:c>
    </x:row>
    <x:row r="18" ht="36" hidden="0" customHeight="1">
      <x:c r="A18" s="2"/>
      <x:c r="B18" s="2"/>
      <x:c r="C18" s="45" t="str">
        <x:v>S012</x:v>
      </x:c>
      <x:c r="D18" s="45" t="str">
        <x:v>Atlas Humanoid Robot</x:v>
      </x:c>
      <x:c r="E18" s="45" t="str">
        <x:v>Boston Dynamics</x:v>
      </x:c>
      <x:c r="F18" s="49" t="str">
        <x:v>미확인</x:v>
      </x:c>
      <x:c r="G18" s="49" t="n">
        <x:v>46282</x:v>
      </x:c>
      <x:c r="H18" s="45" t="str">
        <x:v>en</x:v>
      </x:c>
      <x:c r="I18" s="45" t="str">
        <x:v>1차 자료</x:v>
      </x:c>
      <x:c r="J18" s="45" t="str">
        <x:v>제품사양순간50kg/지속30kg·자체배터리교환·현대차순서배열현장시험. 제조사제품설명.</x:v>
      </x:c>
      <x:c r="K18" s="45" t="str">
        <x:v>https://bostondynamics.com/products/atlas/</x:v>
      </x:c>
      <x:c r="L18" s="45" t="str"/>
      <x:c r="M18" s="45" t="str">
        <x:v>자료 검증
4장 상용화·8장 소유 관계
4장 상용화</x:v>
      </x:c>
    </x:row>
    <x:row r="19" ht="48" hidden="0" customHeight="1">
      <x:c r="A19" s="2"/>
      <x:c r="B19" s="2"/>
      <x:c r="C19" s="45" t="str">
        <x:v>S013</x:v>
      </x:c>
      <x:c r="D19" s="45" t="str">
        <x:v>Hyundai Motor Group's Statement on Boston Dynamics</x:v>
      </x:c>
      <x:c r="E19" s="45" t="str">
        <x:v>Hyundai Motor Group</x:v>
      </x:c>
      <x:c r="F19" s="49" t="n">
        <x:v>46219</x:v>
      </x:c>
      <x:c r="G19" s="49" t="n">
        <x:v>46282</x:v>
      </x:c>
      <x:c r="H19" s="45" t="str">
        <x:v>en</x:v>
      </x:c>
      <x:c r="I19" s="45" t="str">
        <x:v>1차 자료</x:v>
      </x:c>
      <x:c r="J19" s="45" t="str">
        <x:v>SoftBank잔여지분취득추진중,2028HMGMA배치계획과2030확대조건. 완료형으로변환금지.</x:v>
      </x:c>
      <x:c r="K19" s="45" t="str">
        <x:v>https://www.hyundai.com/worldwide/en/newsroom/detail/0000001225</x:v>
      </x:c>
      <x:c r="L19" s="45" t="str"/>
      <x:c r="M19" s="45" t="str">
        <x:v>자료 검증
4장 상용화·8장 소유 관계
7장 공급망
4장 상용화</x:v>
      </x:c>
    </x:row>
    <x:row r="20" ht="36" hidden="0" customHeight="1">
      <x:c r="A20" s="2"/>
      <x:c r="B20" s="2"/>
      <x:c r="C20" s="45" t="str">
        <x:v>S014</x:v>
      </x:c>
      <x:c r="D20" s="45" t="str">
        <x:v>NEO Home Robot</x:v>
      </x:c>
      <x:c r="E20" s="45" t="str">
        <x:v>1X Technologies</x:v>
      </x:c>
      <x:c r="F20" s="49" t="str">
        <x:v>미확인</x:v>
      </x:c>
      <x:c r="G20" s="49" t="n">
        <x:v>46282</x:v>
      </x:c>
      <x:c r="H20" s="45" t="str">
        <x:v>en</x:v>
      </x:c>
      <x:c r="I20" s="45" t="str">
        <x:v>1차 자료</x:v>
      </x:c>
      <x:c r="J20" s="45" t="str">
        <x:v>기초자율성·ExpertMode원격지도·제품사양. 200달러예치금노출은예약이지인도아님.</x:v>
      </x:c>
      <x:c r="K20" s="45" t="str">
        <x:v>https://www.1x.tech/neo</x:v>
      </x:c>
      <x:c r="L20" s="45" t="str"/>
      <x:c r="M20" s="45" t="str">
        <x:v>자료 검증
원본 미디어
4장 상용화</x:v>
      </x:c>
    </x:row>
    <x:row r="21" ht="24" hidden="0" customHeight="1">
      <x:c r="A21" s="2"/>
      <x:c r="B21" s="2"/>
      <x:c r="C21" s="45" t="str">
        <x:v>S015</x:v>
      </x:c>
      <x:c r="D21" s="45" t="str">
        <x:v>NEO Factory | Building Your NEO</x:v>
      </x:c>
      <x:c r="E21" s="45" t="str">
        <x:v>1X Technologies</x:v>
      </x:c>
      <x:c r="F21" s="49" t="n">
        <x:v>46142</x:v>
      </x:c>
      <x:c r="G21" s="49" t="n">
        <x:v>46282</x:v>
      </x:c>
      <x:c r="H21" s="45" t="str">
        <x:v>en</x:v>
      </x:c>
      <x:c r="I21" s="45" t="str">
        <x:v>1차 자료</x:v>
      </x:c>
      <x:c r="J21" s="45" t="str">
        <x:v>1만대예약·2026첫출하예정·사내가정시험. 생산능력과인도성과구분.</x:v>
      </x:c>
      <x:c r="K21" s="45" t="str">
        <x:v>https://www.1x.tech/discover/neo-factory</x:v>
      </x:c>
      <x:c r="L21" s="45" t="str"/>
      <x:c r="M21" s="45" t="str">
        <x:v>자료 검증
4장 상용화</x:v>
      </x:c>
    </x:row>
    <x:row r="22" ht="24" hidden="0" customHeight="1">
      <x:c r="A22" s="2"/>
      <x:c r="B22" s="2"/>
      <x:c r="C22" s="45" t="str">
        <x:v>S016</x:v>
      </x:c>
      <x:c r="D22" s="45" t="str">
        <x:v>NEO’s Hands | An API to the Physical World</x:v>
      </x:c>
      <x:c r="E22" s="45" t="str">
        <x:v>1X Technologies</x:v>
      </x:c>
      <x:c r="F22" s="49" t="n">
        <x:v>46212</x:v>
      </x:c>
      <x:c r="G22" s="49" t="n">
        <x:v>46282</x:v>
      </x:c>
      <x:c r="H22" s="45" t="str">
        <x:v>en</x:v>
      </x:c>
      <x:c r="I22" s="45" t="str">
        <x:v>1차 자료</x:v>
      </x:c>
      <x:c r="J22" s="45" t="str">
        <x:v>25DoF=손가락손바닥22+손목3. 저감속비텐던·촉각·내구시험은제조사주장. 제품표22와범위차이설명.</x:v>
      </x:c>
      <x:c r="K22" s="45" t="str">
        <x:v>https://www.1x.tech/discover/neos-hands</x:v>
      </x:c>
      <x:c r="L22" s="45" t="str"/>
      <x:c r="M22" s="45" t="str">
        <x:v>자료 검증
4장 상용화</x:v>
      </x:c>
    </x:row>
    <x:row r="23" ht="24" hidden="0" customHeight="1">
      <x:c r="A23" s="2"/>
      <x:c r="B23" s="2"/>
      <x:c r="C23" s="45" t="str">
        <x:v>S017</x:v>
      </x:c>
      <x:c r="D23" s="45" t="str">
        <x:v>AEON Product</x:v>
      </x:c>
      <x:c r="E23" s="45" t="str">
        <x:v>Hexagon Robotics</x:v>
      </x:c>
      <x:c r="F23" s="49" t="str">
        <x:v>미확인</x:v>
      </x:c>
      <x:c r="G23" s="49" t="n">
        <x:v>46282</x:v>
      </x:c>
      <x:c r="H23" s="45" t="str">
        <x:v>en</x:v>
      </x:c>
      <x:c r="I23" s="45" t="str">
        <x:v>1차 자료</x:v>
      </x:c>
      <x:c r="J23" s="45" t="str">
        <x:v>단기15kg/지속8kg·4시간배터리·자동교환. 제조사사양.</x:v>
      </x:c>
      <x:c r="K23" s="45" t="str">
        <x:v>https://robotics.hexagon.com/product/</x:v>
      </x:c>
      <x:c r="L23" s="45" t="str"/>
      <x:c r="M23" s="45" t="str">
        <x:v>자료 검증
4장 상용화</x:v>
      </x:c>
    </x:row>
    <x:row r="24" ht="24" hidden="0" customHeight="1">
      <x:c r="A24" s="2"/>
      <x:c r="B24" s="2"/>
      <x:c r="C24" s="45" t="str">
        <x:v>S018</x:v>
      </x:c>
      <x:c r="D24" s="45" t="str">
        <x:v>New milestone with BMW Group: industrial humanoid deployment</x:v>
      </x:c>
      <x:c r="E24" s="45" t="str">
        <x:v>Hexagon Robotics</x:v>
      </x:c>
      <x:c r="F24" s="49" t="n">
        <x:v>46188</x:v>
      </x:c>
      <x:c r="G24" s="49" t="n">
        <x:v>46282</x:v>
      </x:c>
      <x:c r="H24" s="45" t="str">
        <x:v>en</x:v>
      </x:c>
      <x:c r="I24" s="45" t="str">
        <x:v>1차 자료</x:v>
      </x:c>
      <x:c r="J24" s="45" t="str">
        <x:v>본문행사일6/12·게시일6/15. 생산업무시작+훈련병행,정식배치연말계획·배터리공장적용미래.</x:v>
      </x:c>
      <x:c r="K24" s="45" t="str">
        <x:v>https://robotics.hexagon.com/new-milestone-with-bmw-group-industrial-humanoid-deployment/</x:v>
      </x:c>
      <x:c r="L24" s="45" t="str"/>
      <x:c r="M24" s="45" t="str">
        <x:v>자료 검증
4장 상용화</x:v>
      </x:c>
    </x:row>
    <x:row r="25" ht="24" hidden="0" customHeight="1">
      <x:c r="A25" s="2"/>
      <x:c r="B25" s="2"/>
      <x:c r="C25" s="45" t="str">
        <x:v>S019</x:v>
      </x:c>
      <x:c r="D25" s="45" t="str">
        <x:v>Towards Factory Deployment: How AEON is trained to perform</x:v>
      </x:c>
      <x:c r="E25" s="45" t="str">
        <x:v>Hexagon Robotics / Schaeffler</x:v>
      </x:c>
      <x:c r="F25" s="49" t="n">
        <x:v>46253</x:v>
      </x:c>
      <x:c r="G25" s="49" t="n">
        <x:v>46282</x:v>
      </x:c>
      <x:c r="H25" s="45" t="str">
        <x:v>en</x:v>
      </x:c>
      <x:c r="I25" s="45" t="str">
        <x:v>1차 자료</x:v>
      </x:c>
      <x:c r="J25" s="45" t="str">
        <x:v>HumanoidGym학습·검증단계,최소1000대는향후계획.</x:v>
      </x:c>
      <x:c r="K25" s="45" t="str">
        <x:v>https://robotics.hexagon.com/aeon-trains-at-schaeffler-humanoid-gym/</x:v>
      </x:c>
      <x:c r="L25" s="45" t="str"/>
      <x:c r="M25" s="45" t="str">
        <x:v>자료 검증
4장 상용화</x:v>
      </x:c>
    </x:row>
    <x:row r="26" ht="36" hidden="0" customHeight="1">
      <x:c r="A26" s="2"/>
      <x:c r="B26" s="2"/>
      <x:c r="C26" s="45" t="str">
        <x:v>S020</x:v>
      </x:c>
      <x:c r="D26" s="45" t="str">
        <x:v>Humanoid robotics: Schaeffler enters into strategic partnership with Hexagon Robotics</x:v>
      </x:c>
      <x:c r="E26" s="45" t="str">
        <x:v>Schaeffler</x:v>
      </x:c>
      <x:c r="F26" s="49" t="n">
        <x:v>46134</x:v>
      </x:c>
      <x:c r="G26" s="49" t="n">
        <x:v>46282</x:v>
      </x:c>
      <x:c r="H26" s="45" t="str">
        <x:v>en</x:v>
      </x:c>
      <x:c r="I26" s="45" t="str">
        <x:v>1차 자료</x:v>
      </x:c>
      <x:c r="J26" s="45" t="str">
        <x:v>액추에이터공급협력과7년1000대도입계획. 고객·부품공급자교차확인.</x:v>
      </x:c>
      <x:c r="K26" s="45" t="str">
        <x:v>https://www.schaeffler.com/en/investor-relations/events-publications/ir-releases/ir_releases_detail.jsp?id=88184988</x:v>
      </x:c>
      <x:c r="L26" s="45" t="str"/>
      <x:c r="M26" s="45" t="str">
        <x:v>자료 검증
7장 공급망
4장 상용화</x:v>
      </x:c>
    </x:row>
    <x:row r="27" ht="48" hidden="0" customHeight="1">
      <x:c r="A27" s="2"/>
      <x:c r="B27" s="2"/>
      <x:c r="C27" s="45" t="str">
        <x:v>S021</x:v>
      </x:c>
      <x:c r="D27" s="45" t="str">
        <x:v>Hexagon's shareholding in Hangzhou Yushu Technology Co., Ltd (Unitree Technologies)</x:v>
      </x:c>
      <x:c r="E27" s="45" t="str">
        <x:v>Hexagon</x:v>
      </x:c>
      <x:c r="F27" s="49" t="n">
        <x:v>46253</x:v>
      </x:c>
      <x:c r="G27" s="49" t="n">
        <x:v>46282</x:v>
      </x:c>
      <x:c r="H27" s="45" t="str">
        <x:v>en</x:v>
      </x:c>
      <x:c r="I27" s="45" t="str">
        <x:v>1차 자료</x:v>
      </x:c>
      <x:c r="J27" s="45" t="str">
        <x:v>지분1.198%,12개월락업,평가이익비현금·9월말확정. Octave분사후사업범위변화도사이트안내에명시.</x:v>
      </x:c>
      <x:c r="K27" s="45" t="str">
        <x:v>https://hexagon.com/company/newsroom/press-releases/2026/hexagons-shareholding-in-hangzhou-yushu-technology-co-ltd-unitree-technologies</x:v>
      </x:c>
      <x:c r="L27" s="45" t="str"/>
      <x:c r="M27" s="45" t="str">
        <x:v>자료 검증
8장 투자
7장 공급망
4장 상용화</x:v>
      </x:c>
    </x:row>
    <x:row r="28" ht="36" hidden="0" customHeight="1">
      <x:c r="A28" s="2"/>
      <x:c r="B28" s="2"/>
      <x:c r="C28" s="45" t="str">
        <x:v>S022</x:v>
      </x:c>
      <x:c r="D28" s="45" t="str">
        <x:v>Siemens and Humanoid bring Physical AI to the factory floor: deploying humanoids in industrial operations with NVIDIA</x:v>
      </x:c>
      <x:c r="E28" s="45" t="str">
        <x:v>Siemens</x:v>
      </x:c>
      <x:c r="F28" s="49" t="n">
        <x:v>46128</x:v>
      </x:c>
      <x:c r="G28" s="49" t="n">
        <x:v>46282</x:v>
      </x:c>
      <x:c r="H28" s="45" t="str">
        <x:v>en</x:v>
      </x:c>
      <x:c r="I28" s="45" t="str">
        <x:v>1차 자료</x:v>
      </x:c>
      <x:c r="J28" s="45" t="str">
        <x:v>고객직접확인.60토트이동/시간·8시간초과·성공률90%초과는시험지표. 연간가동률미확인.</x:v>
      </x:c>
      <x:c r="K28" s="45" t="str">
        <x:v>https://press.siemens.com/global/en/pressrelease/siemens-and-humanoid-bring-physical-ai-factory-floor-deploying-humanoids-industrial</x:v>
      </x:c>
      <x:c r="L28" s="45" t="str"/>
      <x:c r="M28" s="45" t="str">
        <x:v>자료 검증
7장 공급망
4장 상용화</x:v>
      </x:c>
    </x:row>
    <x:row r="29" ht="24" hidden="0" customHeight="1">
      <x:c r="A29" s="2"/>
      <x:c r="B29" s="2"/>
      <x:c r="C29" s="45" t="str">
        <x:v>S023</x:v>
      </x:c>
      <x:c r="D29" s="45" t="str">
        <x:v>Humanoid Secures Landmark Deal with Schaeffler to Deploy Thousands of Humanoid Robots</x:v>
      </x:c>
      <x:c r="E29" s="45" t="str">
        <x:v>Humanoid / Schaeffler 공동 설명</x:v>
      </x:c>
      <x:c r="F29" s="49" t="n">
        <x:v>46155</x:v>
      </x:c>
      <x:c r="G29" s="49" t="n">
        <x:v>46282</x:v>
      </x:c>
      <x:c r="H29" s="45" t="str">
        <x:v>en</x:v>
      </x:c>
      <x:c r="I29" s="45" t="str">
        <x:v>1차 자료</x:v>
      </x:c>
      <x:c r="J29" s="45" t="str">
        <x:v>binding phased deployment/supply agreement. 2032네자릿수목표,첫단계2026/12~2027/6. 부품수요절반이상·일곱자릿수기대는미래물량.</x:v>
      </x:c>
      <x:c r="K29" s="45" t="str">
        <x:v>https://thehumanoid.ai/humanoid-secures-landmark-deal-with-schaeffler-to-deploy-thousands-of-humanoid-robots/</x:v>
      </x:c>
      <x:c r="L29" s="45" t="str"/>
      <x:c r="M29" s="45" t="str">
        <x:v>자료 검증
4장 상용화</x:v>
      </x:c>
    </x:row>
    <x:row r="30" ht="48" hidden="0" customHeight="1">
      <x:c r="A30" s="2"/>
      <x:c r="B30" s="2"/>
      <x:c r="C30" s="45" t="str">
        <x:v>S024</x:v>
      </x:c>
      <x:c r="D30" s="45" t="str">
        <x:v>Unitree 상장 후 등록자본·회사 유형·정관 변경 공시</x:v>
      </x:c>
      <x:c r="E30" s="45" t="str">
        <x:v>Unitree</x:v>
      </x:c>
      <x:c r="F30" s="49" t="n">
        <x:v>46268</x:v>
      </x:c>
      <x:c r="G30" s="49" t="n">
        <x:v>46282</x:v>
      </x:c>
      <x:c r="H30" s="45" t="str">
        <x:v>zh</x:v>
      </x:c>
      <x:c r="I30" s="45" t="str">
        <x:v>1차 자료</x:v>
      </x:c>
      <x:c r="J30" s="45" t="str">
        <x:v>회사 공시 원문. 2026-08-19 상장 및 종목코드 688836 명시. 이전 비상장 정보 대신 기준일 공시 확인.</x:v>
      </x:c>
      <x:c r="K30" s="45" t="str">
        <x:v>https://www.unitree.com/disclosure/listedinfo/announcement/%E5%AE%87%E6%A0%91%E7%A7%91%E6%8A%80%20%E5%85%B3%E4%BA%8E%E5%8F%98%E6%9B%B4%E6%B3%A8%E5%86%8C%E8%B5%84%E6%9C%AC%E3%80%81%E5%85%AC%E5%8F%B8%E7%B1%BB%E5%9E%8B%E5%8F%8A%E4%BF%AE%E8%AE%A2%E3%80%8A%E5%85%AC%E5%8F%B8%E7%AB%A0%E7%A8%8B%E3%80%8B%E5%B9%B6%E5%8A%9E%E7%90%86%E5%B7%A5%E5%95%86%E5%8F%98%E6%9B%B4%E7%99%BB%E8%AE%B0%E7%9A%84%E5%85%AC%E5%91%8A.pdf</x:v>
      </x:c>
      <x:c r="L30" s="45" t="str"/>
      <x:c r="M30" s="45" t="str">
        <x:v>자료 검증
4장 상용화
7장 공급망</x:v>
      </x:c>
    </x:row>
    <x:row r="31" ht="36" hidden="0" customHeight="1">
      <x:c r="A31" s="2"/>
      <x:c r="B31" s="2"/>
      <x:c r="C31" s="45" t="str">
        <x:v>S025</x:v>
      </x:c>
      <x:c r="D31" s="45" t="str">
        <x:v>Unitree G1 공식 제품 명세와 구성별 가격</x:v>
      </x:c>
      <x:c r="E31" s="45" t="str">
        <x:v>Unitree</x:v>
      </x:c>
      <x:c r="F31" s="49" t="str">
        <x:v>미확인</x:v>
      </x:c>
      <x:c r="G31" s="49" t="n">
        <x:v>46282</x:v>
      </x:c>
      <x:c r="H31" s="45" t="str">
        <x:v>en</x:v>
      </x:c>
      <x:c r="I31" s="45" t="str">
        <x:v>1차 자료</x:v>
      </x:c>
      <x:c r="J31" s="45" t="str">
        <x:v>제조사 명세. 기본형 13,500달러는 세금·운송비 제외. EDU 및 손·개발 옵션과 분리. 일부 기능 개발·시험 중 주의 문구.</x:v>
      </x:c>
      <x:c r="K31" s="45" t="str">
        <x:v>https://www.unitree.com/g1/</x:v>
      </x:c>
      <x:c r="L31" s="45" t="str"/>
      <x:c r="M31" s="45" t="str">
        <x:v>자료 검증
4장 상용화
원본 미디어</x:v>
      </x:c>
    </x:row>
    <x:row r="32" ht="24" hidden="0" customHeight="1">
      <x:c r="A32" s="2"/>
      <x:c r="B32" s="2"/>
      <x:c r="C32" s="45" t="str">
        <x:v>S026</x:v>
      </x:c>
      <x:c r="D32" s="45" t="str">
        <x:v>Unitree R1 공식 온라인 판매 페이지</x:v>
      </x:c>
      <x:c r="E32" s="45" t="str">
        <x:v>Unitree</x:v>
      </x:c>
      <x:c r="F32" s="49" t="str">
        <x:v>미확인</x:v>
      </x:c>
      <x:c r="G32" s="49" t="n">
        <x:v>46282</x:v>
      </x:c>
      <x:c r="H32" s="45" t="str">
        <x:v>en</x:v>
      </x:c>
      <x:c r="I32" s="45" t="str">
        <x:v>1차 자료</x:v>
      </x:c>
      <x:c r="J32" s="45" t="str">
        <x:v>조회일 가격 4,900달러부터. 옵션이 포함된 산업 설치가격으로 해석 금지.</x:v>
      </x:c>
      <x:c r="K32" s="45" t="str">
        <x:v>https://shop.unitree.com/products/unitree-r1</x:v>
      </x:c>
      <x:c r="L32" s="45" t="str"/>
      <x:c r="M32" s="45" t="str">
        <x:v>자료 검증
4장 상용화</x:v>
      </x:c>
    </x:row>
    <x:row r="33" ht="24" hidden="0" customHeight="1">
      <x:c r="A33" s="2"/>
      <x:c r="B33" s="2"/>
      <x:c r="C33" s="45" t="str">
        <x:v>S027</x:v>
      </x:c>
      <x:c r="D33" s="45" t="str">
        <x:v>Walker S2 공식 제품 페이지</x:v>
      </x:c>
      <x:c r="E33" s="45" t="str">
        <x:v>UBTECH</x:v>
      </x:c>
      <x:c r="F33" s="49" t="str">
        <x:v>미확인</x:v>
      </x:c>
      <x:c r="G33" s="49" t="n">
        <x:v>46282</x:v>
      </x:c>
      <x:c r="H33" s="45" t="str">
        <x:v>en</x:v>
      </x:c>
      <x:c r="I33" s="45" t="str">
        <x:v>1차 자료</x:v>
      </x:c>
      <x:c r="J33" s="45" t="str">
        <x:v>제조사 명세·동영상. 이중 배터리 3분 교체, 15kg 취급 등은 제조사 주장. 연속 전원 공급과 장기 유효 가동률 구분.</x:v>
      </x:c>
      <x:c r="K33" s="45" t="str">
        <x:v>https://www.ubtrobot.com/en/humanoid/products/walker-s2</x:v>
      </x:c>
      <x:c r="L33" s="45" t="str"/>
      <x:c r="M33" s="45" t="str">
        <x:v>자료 검증
4장 상용화</x:v>
      </x:c>
    </x:row>
    <x:row r="34" ht="36" hidden="0" customHeight="1">
      <x:c r="A34" s="2"/>
      <x:c r="B34" s="2"/>
      <x:c r="C34" s="45" t="str">
        <x:v>S028</x:v>
      </x:c>
      <x:c r="D34" s="45" t="str">
        <x:v>人形机器人在东风柳汽“上岗”</x:v>
      </x:c>
      <x:c r="E34" s="45" t="str">
        <x:v>Dongfeng Motor / 东风汽车报</x:v>
      </x:c>
      <x:c r="F34" s="49" t="n">
        <x:v>45827</x:v>
      </x:c>
      <x:c r="G34" s="49" t="n">
        <x:v>46282</x:v>
      </x:c>
      <x:c r="H34" s="45" t="str">
        <x:v>zh</x:v>
      </x:c>
      <x:c r="I34" s="45" t="str">
        <x:v>1차 자료</x:v>
      </x:c>
      <x:c r="J34" s="45" t="str">
        <x:v>고객 측 발표. Walker S1 8대의 Liuqi 상용차 공장 분류·상자 운반 투입. web 열기 오류 후 공개 원문 HTTP 읽기로 본문 확인. 고객 경제성 수치 없음.</x:v>
      </x:c>
      <x:c r="K34" s="45" t="str">
        <x:v>https://www.dfmc.com.cn/news/company/news_20250619_0945.html</x:v>
      </x:c>
      <x:c r="L34" s="45" t="str"/>
      <x:c r="M34" s="45" t="str">
        <x:v>자료 검증
4장 상용화
7장 공급망</x:v>
      </x:c>
    </x:row>
    <x:row r="35" ht="48" hidden="0" customHeight="1">
      <x:c r="A35" s="2"/>
      <x:c r="B35" s="2"/>
      <x:c r="C35" s="45" t="str">
        <x:v>S029</x:v>
      </x:c>
      <x:c r="D35" s="45" t="str">
        <x:v>2026년 상반기 미감사 실적 발표</x:v>
      </x:c>
      <x:c r="E35" s="45" t="str">
        <x:v>UBTECH</x:v>
      </x:c>
      <x:c r="F35" s="49" t="n">
        <x:v>46262</x:v>
      </x:c>
      <x:c r="G35" s="49" t="n">
        <x:v>46282</x:v>
      </x:c>
      <x:c r="H35" s="45" t="str">
        <x:v>zh/en</x:v>
      </x:c>
      <x:c r="I35" s="45" t="str">
        <x:v>1차 자료</x:v>
      </x:c>
      <x:c r="J35" s="45" t="str">
        <x:v>공식 공시. 홈페이지 게시 경로는 2026-09-02. 전체 매출 1269.1m RMB, humanoid products and services 590.3m(46.5%), 921대. 바퀴형 및 서비스 포함. 당기손실 338.827m. 실험실 VLA 75%는 현장 성공률 아님.</x:v>
      </x:c>
      <x:c r="K35" s="45" t="str">
        <x:v>https://owebsite-cdn.ubtrobot.com/resources/file/2026/09/02/844614814105669.pdf</x:v>
      </x:c>
      <x:c r="L35" s="45" t="str"/>
      <x:c r="M35" s="45" t="str">
        <x:v>자료 검증
4장 상용화
8장 투자
7장 공급망</x:v>
      </x:c>
    </x:row>
    <x:row r="36" ht="24" hidden="0" customHeight="1">
      <x:c r="A36" s="2"/>
      <x:c r="B36" s="2"/>
      <x:c r="C36" s="45" t="str">
        <x:v>S030</x:v>
      </x:c>
      <x:c r="D36" s="45" t="str">
        <x:v>AGIBOT’s 15,000th Robot Rolls Off the Production Line</x:v>
      </x:c>
      <x:c r="E36" s="45" t="str">
        <x:v>AGIBOT</x:v>
      </x:c>
      <x:c r="F36" s="49" t="n">
        <x:v>46201</x:v>
      </x:c>
      <x:c r="G36" s="49" t="n">
        <x:v>46282</x:v>
      </x:c>
      <x:c r="H36" s="45" t="str">
        <x:v>en</x:v>
      </x:c>
      <x:c r="I36" s="45" t="str">
        <x:v>1차 자료</x:v>
      </x:c>
      <x:c r="J36" s="45" t="str">
        <x:v>누적 15,000번째 생산 로봇은 G2라는 제조사 발표. 설치·판매·매출과 구분. 같은 글의 factory livestream 약 100 cumulative hours는 다음 날 64시간 초과 작업과 집계범위 차이 미해소.</x:v>
      </x:c>
      <x:c r="K36" s="45" t="str">
        <x:v>https://www.agibot.com/article/231/detail/82.html</x:v>
      </x:c>
      <x:c r="L36" s="45" t="str"/>
      <x:c r="M36" s="45" t="str">
        <x:v>자료 검증
4장 상용화</x:v>
      </x:c>
    </x:row>
    <x:row r="37" ht="48" hidden="0" customHeight="1">
      <x:c r="A37" s="2"/>
      <x:c r="B37" s="2"/>
      <x:c r="C37" s="45" t="str">
        <x:v>S031</x:v>
      </x:c>
      <x:c r="D37" s="45" t="str">
        <x:v>AGIBOT–Longcheer 실제 공장 6일 공개 작업 결과</x:v>
      </x:c>
      <x:c r="E37" s="45" t="str">
        <x:v>AGIBOT</x:v>
      </x:c>
      <x:c r="F37" s="49" t="n">
        <x:v>46202</x:v>
      </x:c>
      <x:c r="G37" s="49" t="n">
        <x:v>46282</x:v>
      </x:c>
      <x:c r="H37" s="45" t="str">
        <x:v>en</x:v>
      </x:c>
      <x:c r="I37" s="45" t="str">
        <x:v>1차 자료</x:v>
      </x:c>
      <x:c r="J37" s="45" t="str">
        <x:v>회사 집계 64시간 초과, 64,828 tasks, 99.99%, 라인 산출 17,625. 독립 감사나 고객 TCO가 아님. 6일을 144시간 무개입으로 환산하지 않음.</x:v>
      </x:c>
      <x:c r="K37" s="45" t="str">
        <x:v>https://www.agibot.com/article/231/detail/83.html</x:v>
      </x:c>
      <x:c r="L37" s="45" t="str"/>
      <x:c r="M37" s="45" t="str">
        <x:v>자료 검증
4장 상용화
원본 미디어
7장 공급망</x:v>
      </x:c>
    </x:row>
    <x:row r="38" ht="24" hidden="0" customHeight="1">
      <x:c r="A38" s="2"/>
      <x:c r="B38" s="2"/>
      <x:c r="C38" s="45" t="str">
        <x:v>S032</x:v>
      </x:c>
      <x:c r="D38" s="45" t="str">
        <x:v>Fourier Makes CES Debut with GR-3, a Next-Generation Care-Focused Humanoid Robot</x:v>
      </x:c>
      <x:c r="E38" s="45" t="str">
        <x:v>Fourier / PR Newswire</x:v>
      </x:c>
      <x:c r="F38" s="49" t="n">
        <x:v>46028</x:v>
      </x:c>
      <x:c r="G38" s="49" t="n">
        <x:v>46282</x:v>
      </x:c>
      <x:c r="H38" s="45" t="str">
        <x:v>en</x:v>
      </x:c>
      <x:c r="I38" s="45" t="str">
        <x:v>1차 자료</x:v>
      </x:c>
      <x:c r="J38" s="45" t="str">
        <x:v>Fourier가 배포한 보도자료. 21:28 ET 발표(UTC 1/7). 165cm,55DOF,감각·상호작용 시연과 원본 사진. 유상 대규모 고객·임상 효과 근거 아님.</x:v>
      </x:c>
      <x:c r="K38" s="45" t="str">
        <x:v>https://www.prnewswire.com/news-releases/fourier-makes-ces-debut-with-gr-3-a-next-generation-care-focused-humanoid-robot-302654579.html</x:v>
      </x:c>
      <x:c r="L38" s="45" t="str"/>
      <x:c r="M38" s="45" t="str">
        <x:v>자료 검증
4장 상용화</x:v>
      </x:c>
    </x:row>
    <x:row r="39" ht="24" hidden="0" customHeight="1">
      <x:c r="A39" s="2"/>
      <x:c r="B39" s="2"/>
      <x:c r="C39" s="45" t="str">
        <x:v>S033</x:v>
      </x:c>
      <x:c r="D39" s="45" t="str">
        <x:v>LimX Oli 官方产品</x:v>
      </x:c>
      <x:c r="E39" s="45" t="str">
        <x:v>LimX Dynamics</x:v>
      </x:c>
      <x:c r="F39" s="49" t="str">
        <x:v>미확인</x:v>
      </x:c>
      <x:c r="G39" s="49" t="n">
        <x:v>46282</x:v>
      </x:c>
      <x:c r="H39" s="45" t="str">
        <x:v>zh</x:v>
      </x:c>
      <x:c r="I39" s="45" t="str">
        <x:v>1차 자료</x:v>
      </x:c>
      <x:c r="J39" s="45" t="str">
        <x:v>제조사 명세 165cm,31DOF. 현재 공식 가격은 문의 방식. 다른 날짜·구성 재판매 가격과 비교 금지.</x:v>
      </x:c>
      <x:c r="K39" s="45" t="str">
        <x:v>https://www.limxdynamics.com/zh/products/oli</x:v>
      </x:c>
      <x:c r="L39" s="45" t="str"/>
      <x:c r="M39" s="45" t="str">
        <x:v>자료 검증
4장 상용화</x:v>
      </x:c>
    </x:row>
    <x:row r="40" ht="24" hidden="0" customHeight="1">
      <x:c r="A40" s="2"/>
      <x:c r="B40" s="2"/>
      <x:c r="C40" s="45" t="str">
        <x:v>S034</x:v>
      </x:c>
      <x:c r="D40" s="45" t="str">
        <x:v>LimX Pre-IPO 자금 조달과 주문·납품 발표</x:v>
      </x:c>
      <x:c r="E40" s="45" t="str">
        <x:v>LimX Dynamics</x:v>
      </x:c>
      <x:c r="F40" s="49" t="n">
        <x:v>46217</x:v>
      </x:c>
      <x:c r="G40" s="49" t="n">
        <x:v>46282</x:v>
      </x:c>
      <x:c r="H40" s="45" t="str">
        <x:v>zh</x:v>
      </x:c>
      <x:c r="I40" s="45" t="str">
        <x:v>1차 자료</x:v>
      </x:c>
      <x:c r="J40" s="45" t="str">
        <x:v>약 2억 달러 라운드, 반년 누적 4억 달러, 여러 제품 수천 대 주문·절반 이상 해외, Luna 납품 회사 주장. Pre-IPO는 상장 완료가 아님.</x:v>
      </x:c>
      <x:c r="K40" s="45" t="str">
        <x:v>https://www.limxdynamics.com/zh/news/BK000063</x:v>
      </x:c>
      <x:c r="L40" s="45" t="str"/>
      <x:c r="M40" s="45" t="str">
        <x:v>자료 검증
4장 상용화</x:v>
      </x:c>
    </x:row>
    <x:row r="41" ht="36" hidden="0" customHeight="1">
      <x:c r="A41" s="2"/>
      <x:c r="B41" s="2"/>
      <x:c r="C41" s="45" t="str">
        <x:v>S035</x:v>
      </x:c>
      <x:c r="D41" s="45" t="str">
        <x:v>XPENG IRON 생산라인 가동 발표</x:v>
      </x:c>
      <x:c r="E41" s="45" t="str">
        <x:v>XPENG</x:v>
      </x:c>
      <x:c r="F41" s="49" t="n">
        <x:v>46273</x:v>
      </x:c>
      <x:c r="G41" s="49" t="n">
        <x:v>46282</x:v>
      </x:c>
      <x:c r="H41" s="45" t="str">
        <x:v>en</x:v>
      </x:c>
      <x:c r="I41" s="45" t="str">
        <x:v>1차 자료</x:v>
      </x:c>
      <x:c r="J41" s="45" t="str">
        <x:v>라인 가동과 첫 기체. 핵심 공정 80% 초과 자동화는 회사 주장. 본격 양산 2026년 말, 시장 출시·납품 2027년 계획 구분.</x:v>
      </x:c>
      <x:c r="K41" s="45" t="str">
        <x:v>https://www.xpeng.com/news/01a080371029a057bc8e8a02a2c6012b</x:v>
      </x:c>
      <x:c r="L41" s="45" t="str"/>
      <x:c r="M41" s="45" t="str">
        <x:v>자료 검증
4장 상용화
8장 투자</x:v>
      </x:c>
    </x:row>
    <x:row r="42" ht="36" hidden="0" customHeight="1">
      <x:c r="A42" s="2"/>
      <x:c r="B42" s="2"/>
      <x:c r="C42" s="45" t="str">
        <x:v>S036</x:v>
      </x:c>
      <x:c r="D42" s="45" t="str">
        <x:v>XPENG 로봇 사업 Series A 투자 계약 발표</x:v>
      </x:c>
      <x:c r="E42" s="45" t="str">
        <x:v>XPENG</x:v>
      </x:c>
      <x:c r="F42" s="49" t="n">
        <x:v>46258</x:v>
      </x:c>
      <x:c r="G42" s="49" t="n">
        <x:v>46282</x:v>
      </x:c>
      <x:c r="H42" s="45" t="str">
        <x:v>en</x:v>
      </x:c>
      <x:c r="I42" s="45" t="str">
        <x:v>1차 자료</x:v>
      </x:c>
      <x:c r="J42" s="45" t="str">
        <x:v>사이트 게시 8/25, 본문 dateline 8/24. 9억 달러 초과 조달·63억 달러 초과 post-money, 거래 종결 후 지배권 유지·연결 예정. 계약과 종결 구분. IRON 하드웨어 명세 포함.</x:v>
      </x:c>
      <x:c r="K42" s="45" t="str">
        <x:v>https://www.xpeng.com/news/01a03797fccda01e0de68a02a256006a</x:v>
      </x:c>
      <x:c r="L42" s="45" t="str"/>
      <x:c r="M42" s="45" t="str">
        <x:v>자료 검증
4장 상용화
8장 투자</x:v>
      </x:c>
    </x:row>
    <x:row r="43" ht="15" hidden="0" customHeight="1">
      <x:c r="A43" s="2"/>
      <x:c r="B43" s="2"/>
      <x:c r="C43" s="45" t="str">
        <x:v>S037</x:v>
      </x:c>
      <x:c r="D43" s="45" t="str">
        <x:v>Figure 03 최초 공개</x:v>
      </x:c>
      <x:c r="E43" s="45" t="str">
        <x:v>Figure</x:v>
      </x:c>
      <x:c r="F43" s="49" t="n">
        <x:v>45939</x:v>
      </x:c>
      <x:c r="G43" s="49" t="n">
        <x:v>46282</x:v>
      </x:c>
      <x:c r="H43" s="45" t="str">
        <x:v>en</x:v>
      </x:c>
      <x:c r="I43" s="45" t="str">
        <x:v>1차 자료</x:v>
      </x:c>
      <x:c r="J43" s="45" t="str">
        <x:v>공식 본문 직접 확인.</x:v>
      </x:c>
      <x:c r="K43" s="45" t="str">
        <x:v>https://www.figure.ai/news/introducing-figure-03</x:v>
      </x:c>
      <x:c r="L43" s="45" t="str"/>
      <x:c r="M43" s="45" t="str">
        <x:v>자료 검증</x:v>
      </x:c>
    </x:row>
    <x:row r="44" ht="15" hidden="0" customHeight="1">
      <x:c r="A44" s="2"/>
      <x:c r="B44" s="2"/>
      <x:c r="C44" s="45" t="str">
        <x:v>S038</x:v>
      </x:c>
      <x:c r="D44" s="45" t="str">
        <x:v>Figure 주식 양도 제한 공지</x:v>
      </x:c>
      <x:c r="E44" s="45" t="str">
        <x:v>Figure</x:v>
      </x:c>
      <x:c r="F44" s="49" t="n">
        <x:v>46211</x:v>
      </x:c>
      <x:c r="G44" s="49" t="n">
        <x:v>46282</x:v>
      </x:c>
      <x:c r="H44" s="45" t="str">
        <x:v>en</x:v>
      </x:c>
      <x:c r="I44" s="45" t="str">
        <x:v>1차 자료</x:v>
      </x:c>
      <x:c r="J44" s="45" t="str">
        <x:v>공식 본문 직접 확인.</x:v>
      </x:c>
      <x:c r="K44" s="45" t="str">
        <x:v>https://www.figure.ai/news/notice-regarding-unauthorized-attempts-to-sell-figure-stock</x:v>
      </x:c>
      <x:c r="L44" s="45" t="str"/>
      <x:c r="M44" s="45" t="str">
        <x:v>자료 검증</x:v>
      </x:c>
    </x:row>
    <x:row r="45" ht="15" hidden="0" customHeight="1">
      <x:c r="A45" s="2"/>
      <x:c r="B45" s="2"/>
      <x:c r="C45" s="45" t="str">
        <x:v>S039</x:v>
      </x:c>
      <x:c r="D45" s="45" t="str">
        <x:v>Figure–Catalyst Brands 상업 협약</x:v>
      </x:c>
      <x:c r="E45" s="45" t="str">
        <x:v>Figure</x:v>
      </x:c>
      <x:c r="F45" s="49" t="n">
        <x:v>46168</x:v>
      </x:c>
      <x:c r="G45" s="49" t="n">
        <x:v>46282</x:v>
      </x:c>
      <x:c r="H45" s="45" t="str">
        <x:v>en</x:v>
      </x:c>
      <x:c r="I45" s="45" t="str">
        <x:v>1차 자료</x:v>
      </x:c>
      <x:c r="J45" s="45" t="str">
        <x:v>공식 본문 직접 확인.</x:v>
      </x:c>
      <x:c r="K45" s="45" t="str">
        <x:v>https://www.figure.ai/news/figure-signs-agreement-with-catalyst-brands</x:v>
      </x:c>
      <x:c r="L45" s="45" t="str"/>
      <x:c r="M45" s="45" t="str">
        <x:v>자료 검증</x:v>
      </x:c>
    </x:row>
    <x:row r="46" ht="15" hidden="0" customHeight="1">
      <x:c r="A46" s="2"/>
      <x:c r="B46" s="2"/>
      <x:c r="C46" s="45" t="str">
        <x:v>S040</x:v>
      </x:c>
      <x:c r="D46" s="45" t="str">
        <x:v>LimX Oli 상세 명세</x:v>
      </x:c>
      <x:c r="E46" s="45" t="str">
        <x:v>LimX Dynamics</x:v>
      </x:c>
      <x:c r="F46" s="49" t="str">
        <x:v>미확인</x:v>
      </x:c>
      <x:c r="G46" s="49" t="n">
        <x:v>46282</x:v>
      </x:c>
      <x:c r="H46" s="45" t="str">
        <x:v>zh</x:v>
      </x:c>
      <x:c r="I46" s="45" t="str">
        <x:v>1차 자료</x:v>
      </x:c>
      <x:c r="J46" s="45" t="str">
        <x:v>공식 본문 직접 확인.</x:v>
      </x:c>
      <x:c r="K46" s="45" t="str">
        <x:v>https://www.limxdynamics.com/zh/products/oli/spec</x:v>
      </x:c>
      <x:c r="L46" s="45" t="str"/>
      <x:c r="M46" s="45" t="str">
        <x:v>자료 검증</x:v>
      </x:c>
    </x:row>
    <x:row r="47" ht="15" hidden="0" customHeight="1">
      <x:c r="A47" s="2"/>
      <x:c r="B47" s="2"/>
      <x:c r="C47" s="45" t="str">
        <x:v>S041</x:v>
      </x:c>
      <x:c r="D47" s="45" t="str">
        <x:v>UnifoLM-WMA-0 공식 코드·가중치 저장소</x:v>
      </x:c>
      <x:c r="E47" s="45" t="str">
        <x:v>Unitree Robotics</x:v>
      </x:c>
      <x:c r="F47" s="49" t="n">
        <x:v>45915</x:v>
      </x:c>
      <x:c r="G47" s="49" t="n">
        <x:v>46282</x:v>
      </x:c>
      <x:c r="H47" s="45" t="str">
        <x:v>en</x:v>
      </x:c>
      <x:c r="I47" s="45" t="str">
        <x:v>1차 자료</x:v>
      </x:c>
      <x:c r="J47" s="45" t="str">
        <x:v>연구용 코드와 모델 자료. 서버 추론 예제를 제품 전체 온디바이스 자율성으로 해석 금지.</x:v>
      </x:c>
      <x:c r="K47" s="45" t="str">
        <x:v>https://github.com/unitreerobotics/unifolm-world-model-action</x:v>
      </x:c>
      <x:c r="L47" s="45" t="str"/>
      <x:c r="M47" s="45" t="str">
        <x:v>4장 상용화</x:v>
      </x:c>
    </x:row>
    <x:row r="48" ht="15" hidden="0" customHeight="1">
      <x:c r="A48" s="2"/>
      <x:c r="B48" s="2"/>
      <x:c r="C48" s="45" t="str">
        <x:v>S042</x:v>
      </x:c>
      <x:c r="D48" s="45" t="str">
        <x:v>UnifoLM World Model Action 연구 설명과 영상</x:v>
      </x:c>
      <x:c r="E48" s="45" t="str">
        <x:v>Unitree 연구진</x:v>
      </x:c>
      <x:c r="F48" s="49" t="n">
        <x:v>45915</x:v>
      </x:c>
      <x:c r="G48" s="49" t="n">
        <x:v>46282</x:v>
      </x:c>
      <x:c r="H48" s="45" t="str">
        <x:v>en/zh</x:v>
      </x:c>
      <x:c r="I48" s="45" t="str">
        <x:v>1차 자료</x:v>
      </x:c>
      <x:c r="J48" s="45" t="str">
        <x:v>개발팀 연구 프로젝트. 원본 실험 영상과 구조 설명. 외부 재현과 구분.</x:v>
      </x:c>
      <x:c r="K48" s="45" t="str">
        <x:v>https://unigen-x.github.io/unifolm-world-model-action.github.io/</x:v>
      </x:c>
      <x:c r="L48" s="45" t="str"/>
      <x:c r="M48" s="45" t="str">
        <x:v>4장 상용화</x:v>
      </x:c>
    </x:row>
    <x:row r="49" ht="36" hidden="0" customHeight="1">
      <x:c r="A49" s="2"/>
      <x:c r="B49" s="2"/>
      <x:c r="C49" s="45" t="str">
        <x:v>S043</x:v>
      </x:c>
      <x:c r="D49" s="45" t="str">
        <x:v>UBTECH 산업 현장 적용 사례</x:v>
      </x:c>
      <x:c r="E49" s="45" t="str">
        <x:v>UBTECH</x:v>
      </x:c>
      <x:c r="F49" s="49" t="str">
        <x:v>미확인</x:v>
      </x:c>
      <x:c r="G49" s="49" t="n">
        <x:v>46282</x:v>
      </x:c>
      <x:c r="H49" s="45" t="str">
        <x:v>en</x:v>
      </x:c>
      <x:c r="I49" s="45" t="str">
        <x:v>1차 자료</x:v>
      </x:c>
      <x:c r="J49" s="45" t="str">
        <x:v>BYD·NIO·Zeekr·Foxconn 사례. 현장 훈련·적용의 제조사 발표이며 유상 계약·재주문과 별도.</x:v>
      </x:c>
      <x:c r="K49" s="45" t="str">
        <x:v>https://www.ubtrobot.com/en/humanoid/solutions/industry</x:v>
      </x:c>
      <x:c r="L49" s="45" t="str"/>
      <x:c r="M49" s="45" t="str">
        <x:v>4장 상용화
원본 미디어
7장 공급망</x:v>
      </x:c>
    </x:row>
    <x:row r="50" ht="24" hidden="0" customHeight="1">
      <x:c r="A50" s="2"/>
      <x:c r="B50" s="2"/>
      <x:c r="C50" s="45" t="str">
        <x:v>S044</x:v>
      </x:c>
      <x:c r="D50" s="45" t="str">
        <x:v>AGIBOT 공식 제품 포트폴리오</x:v>
      </x:c>
      <x:c r="E50" s="45" t="str">
        <x:v>AGIBOT</x:v>
      </x:c>
      <x:c r="F50" s="49" t="str">
        <x:v>미확인</x:v>
      </x:c>
      <x:c r="G50" s="49" t="n">
        <x:v>46282</x:v>
      </x:c>
      <x:c r="H50" s="45" t="str">
        <x:v>en</x:v>
      </x:c>
      <x:c r="I50" s="45" t="str">
        <x:v>1차 자료</x:v>
      </x:c>
      <x:c r="J50" s="45" t="str">
        <x:v>제품별 이족·바퀴·데이터·손·비휴머노이드 범주를 분리하는 자료.</x:v>
      </x:c>
      <x:c r="K50" s="45" t="str">
        <x:v>https://www.agibot.com/</x:v>
      </x:c>
      <x:c r="L50" s="45" t="str"/>
      <x:c r="M50" s="45" t="str">
        <x:v>4장 상용화
7장 공급망</x:v>
      </x:c>
    </x:row>
    <x:row r="51" ht="15" hidden="0" customHeight="1">
      <x:c r="A51" s="2"/>
      <x:c r="B51" s="2"/>
      <x:c r="C51" s="45" t="str">
        <x:v>S045</x:v>
      </x:c>
      <x:c r="D51" s="45" t="str">
        <x:v>AGIBOT G2 공식 제품과 원본 사진</x:v>
      </x:c>
      <x:c r="E51" s="45" t="str">
        <x:v>AGIBOT</x:v>
      </x:c>
      <x:c r="F51" s="49" t="str">
        <x:v>미확인</x:v>
      </x:c>
      <x:c r="G51" s="49" t="n">
        <x:v>46282</x:v>
      </x:c>
      <x:c r="H51" s="45" t="str">
        <x:v>en</x:v>
      </x:c>
      <x:c r="I51" s="45" t="str">
        <x:v>1차 자료</x:v>
      </x:c>
      <x:c r="J51" s="45" t="str">
        <x:v>바퀴형 양팔 조작 기체. 산업 명세·사진. 손 조작 실적을 이족 보행 경제성으로 일반화하지 않음.</x:v>
      </x:c>
      <x:c r="K51" s="45" t="str">
        <x:v>https://www.agibot.com/products/G2</x:v>
      </x:c>
      <x:c r="L51" s="45" t="str"/>
      <x:c r="M51" s="45" t="str">
        <x:v>4장 상용화</x:v>
      </x:c>
    </x:row>
    <x:row r="52" ht="24" hidden="0" customHeight="1">
      <x:c r="A52" s="2"/>
      <x:c r="B52" s="2"/>
      <x:c r="C52" s="45" t="str">
        <x:v>S046</x:v>
      </x:c>
      <x:c r="D52" s="45" t="str">
        <x:v>AgiBot World Colosseo: A Large-scale Manipulation Platform for Scalable and Intelligent Embodied Systems</x:v>
      </x:c>
      <x:c r="E52" s="45" t="str">
        <x:v>AgiBot World 연구진 / arXiv</x:v>
      </x:c>
      <x:c r="F52" s="49" t="n">
        <x:v>45725</x:v>
      </x:c>
      <x:c r="G52" s="49" t="n">
        <x:v>46282</x:v>
      </x:c>
      <x:c r="H52" s="45" t="str">
        <x:v>en</x:v>
      </x:c>
      <x:c r="I52" s="45" t="str">
        <x:v>1차 자료</x:v>
      </x:c>
      <x:c r="J52" s="45" t="str">
        <x:v>연구진 데이터 구성: 100만 이상 trajectories, 217 tasks, 5 deployment scenarios. 논문의 자체 실험이며 외부 재현과 구분.</x:v>
      </x:c>
      <x:c r="K52" s="45" t="str">
        <x:v>https://arxiv.org/abs/2503.06669</x:v>
      </x:c>
      <x:c r="L52" s="45" t="str"/>
      <x:c r="M52" s="45" t="str">
        <x:v>4장 상용화</x:v>
      </x:c>
    </x:row>
    <x:row r="53" ht="15" hidden="0" customHeight="1">
      <x:c r="A53" s="2"/>
      <x:c r="B53" s="2"/>
      <x:c r="C53" s="45" t="str">
        <x:v>S047</x:v>
      </x:c>
      <x:c r="D53" s="45" t="str">
        <x:v>GE-Act 2.0 공식 기술 발표</x:v>
      </x:c>
      <x:c r="E53" s="45" t="str">
        <x:v>AGIBOT</x:v>
      </x:c>
      <x:c r="F53" s="49" t="n">
        <x:v>46275</x:v>
      </x:c>
      <x:c r="G53" s="49" t="n">
        <x:v>46282</x:v>
      </x:c>
      <x:c r="H53" s="45" t="str">
        <x:v>en</x:v>
      </x:c>
      <x:c r="I53" s="45" t="str">
        <x:v>1차 자료</x:v>
      </x:c>
      <x:c r="J53" s="45" t="str">
        <x:v>사이트 목록 9/11, 본문 dateline 9/10. 300~30,000시간 및 두 기체 zero-shot 자체평가. 다른 현장 지표와 비교 금지.</x:v>
      </x:c>
      <x:c r="K53" s="45" t="str">
        <x:v>https://www.agibot.com/article/231/detail/120.html</x:v>
      </x:c>
      <x:c r="L53" s="45" t="str"/>
      <x:c r="M53" s="45" t="str">
        <x:v>4장 상용화</x:v>
      </x:c>
    </x:row>
    <x:row r="54" ht="15" hidden="0" customHeight="1">
      <x:c r="A54" s="2"/>
      <x:c r="B54" s="2"/>
      <x:c r="C54" s="45" t="str">
        <x:v>S048</x:v>
      </x:c>
      <x:c r="D54" s="45" t="str">
        <x:v>AGILE 2.0 공식 기술 발표</x:v>
      </x:c>
      <x:c r="E54" s="45" t="str">
        <x:v>AGIBOT</x:v>
      </x:c>
      <x:c r="F54" s="49" t="n">
        <x:v>46274</x:v>
      </x:c>
      <x:c r="G54" s="49" t="n">
        <x:v>46282</x:v>
      </x:c>
      <x:c r="H54" s="45" t="str">
        <x:v>en</x:v>
      </x:c>
      <x:c r="I54" s="45" t="str">
        <x:v>1차 자료</x:v>
      </x:c>
      <x:c r="J54" s="45" t="str">
        <x:v>홈페이지 목록 9/14, 본문 dateline 9/9. 시각·전신 제어·협업 동작. 동작 시연을 생산성으로 해석하지 않음.</x:v>
      </x:c>
      <x:c r="K54" s="45" t="str">
        <x:v>https://www.agibot.com/article/231/detail/121.html</x:v>
      </x:c>
      <x:c r="L54" s="45" t="str"/>
      <x:c r="M54" s="45" t="str">
        <x:v>4장 상용화</x:v>
      </x:c>
    </x:row>
    <x:row r="55" ht="15" hidden="0" customHeight="1">
      <x:c r="A55" s="2"/>
      <x:c r="B55" s="2"/>
      <x:c r="C55" s="45" t="str">
        <x:v>S049</x:v>
      </x:c>
      <x:c r="D55" s="45" t="str">
        <x:v>Fourier Developer Center</x:v>
      </x:c>
      <x:c r="E55" s="45" t="str">
        <x:v>Fourier</x:v>
      </x:c>
      <x:c r="F55" s="49" t="str">
        <x:v>미확인</x:v>
      </x:c>
      <x:c r="G55" s="49" t="n">
        <x:v>46282</x:v>
      </x:c>
      <x:c r="H55" s="45" t="str">
        <x:v>en</x:v>
      </x:c>
      <x:c r="I55" s="45" t="str">
        <x:v>1차 자료</x:v>
      </x:c>
      <x:c r="J55" s="45" t="str">
        <x:v>공식 개발 문서 진입점. 문서 존재와 납품 기능·운영 보장 구분.</x:v>
      </x:c>
      <x:c r="K55" s="45" t="str">
        <x:v>https://support.fftai.com/</x:v>
      </x:c>
      <x:c r="L55" s="45" t="str"/>
      <x:c r="M55" s="45" t="str">
        <x:v>4장 상용화</x:v>
      </x:c>
    </x:row>
    <x:row r="56" ht="15" hidden="0" customHeight="1">
      <x:c r="A56" s="2"/>
      <x:c r="B56" s="2"/>
      <x:c r="C56" s="45" t="str">
        <x:v>S050</x:v>
      </x:c>
      <x:c r="D56" s="45" t="str">
        <x:v>Fourier GR-3 개발 문서</x:v>
      </x:c>
      <x:c r="E56" s="45" t="str">
        <x:v>Fourier</x:v>
      </x:c>
      <x:c r="F56" s="49" t="str">
        <x:v>미확인</x:v>
      </x:c>
      <x:c r="G56" s="49" t="n">
        <x:v>46282</x:v>
      </x:c>
      <x:c r="H56" s="45" t="str">
        <x:v>en</x:v>
      </x:c>
      <x:c r="I56" s="45" t="str">
        <x:v>1차 자료</x:v>
      </x:c>
      <x:c r="J56" s="45" t="str">
        <x:v>공식 GR-3 문서 경로. 일부 동적 페이지이므로 확인 가능한 범위만 기술.</x:v>
      </x:c>
      <x:c r="K56" s="45" t="str">
        <x:v>https://support.fftai.com/gr3</x:v>
      </x:c>
      <x:c r="L56" s="45" t="str"/>
      <x:c r="M56" s="45" t="str">
        <x:v>4장 상용화</x:v>
      </x:c>
    </x:row>
    <x:row r="57" ht="15" hidden="0" customHeight="1">
      <x:c r="A57" s="2"/>
      <x:c r="B57" s="2"/>
      <x:c r="C57" s="45" t="str">
        <x:v>S051</x:v>
      </x:c>
      <x:c r="D57" s="45" t="str">
        <x:v>LimX TRON 2 官方产品</x:v>
      </x:c>
      <x:c r="E57" s="45" t="str">
        <x:v>LimX Dynamics</x:v>
      </x:c>
      <x:c r="F57" s="49" t="str">
        <x:v>미확인</x:v>
      </x:c>
      <x:c r="G57" s="49" t="n">
        <x:v>46282</x:v>
      </x:c>
      <x:c r="H57" s="45" t="str">
        <x:v>zh</x:v>
      </x:c>
      <x:c r="I57" s="45" t="str">
        <x:v>1차 자료</x:v>
      </x:c>
      <x:c r="J57" s="45" t="str">
        <x:v>모듈형 다중 형태 플랫폼. 전신 이족형과 판매 대수 분리.</x:v>
      </x:c>
      <x:c r="K57" s="45" t="str">
        <x:v>https://www.limxdynamics.com/zh/products/tron2</x:v>
      </x:c>
      <x:c r="L57" s="45" t="str"/>
      <x:c r="M57" s="45" t="str">
        <x:v>4장 상용화</x:v>
      </x:c>
    </x:row>
    <x:row r="58" ht="15" hidden="0" customHeight="1">
      <x:c r="A58" s="2"/>
      <x:c r="B58" s="2"/>
      <x:c r="C58" s="45" t="str">
        <x:v>S052</x:v>
      </x:c>
      <x:c r="D58" s="45" t="str">
        <x:v>COSA 시스템 공식 발표</x:v>
      </x:c>
      <x:c r="E58" s="45" t="str">
        <x:v>LimX Dynamics</x:v>
      </x:c>
      <x:c r="F58" s="49" t="n">
        <x:v>46034</x:v>
      </x:c>
      <x:c r="G58" s="49" t="n">
        <x:v>46282</x:v>
      </x:c>
      <x:c r="H58" s="45" t="str">
        <x:v>zh</x:v>
      </x:c>
      <x:c r="I58" s="45" t="str">
        <x:v>1차 자료</x:v>
      </x:c>
      <x:c r="J58" s="45" t="str">
        <x:v>전신 제어·작업 기술·인지 기억의 구조와 예시. 자체 시연이며 고객 경제성 미확인.</x:v>
      </x:c>
      <x:c r="K58" s="45" t="str">
        <x:v>https://www.limxdynamics.com/zh/news/BK000054</x:v>
      </x:c>
      <x:c r="L58" s="45" t="str"/>
      <x:c r="M58" s="45" t="str">
        <x:v>4장 상용화</x:v>
      </x:c>
    </x:row>
    <x:row r="59" ht="36" hidden="0" customHeight="1">
      <x:c r="A59" s="2"/>
      <x:c r="B59" s="2"/>
      <x:c r="C59" s="45" t="str">
        <x:v>S053</x:v>
      </x:c>
      <x:c r="D59" s="45" t="str">
        <x:v>XPENG Reports Second Quarter 2026 Unaudited Financial Results</x:v>
      </x:c>
      <x:c r="E59" s="45" t="str">
        <x:v>XPENG</x:v>
      </x:c>
      <x:c r="F59" s="49" t="n">
        <x:v>46258</x:v>
      </x:c>
      <x:c r="G59" s="49" t="n">
        <x:v>46282</x:v>
      </x:c>
      <x:c r="H59" s="45" t="str">
        <x:v>en</x:v>
      </x:c>
      <x:c r="I59" s="45" t="str">
        <x:v>1차 자료</x:v>
      </x:c>
      <x:c r="J59" s="45" t="str">
        <x:v>NYSE XPEV/HKEX9868. 2Q 총매출19.74bn RMB,순손실1.34bn. 모회사 자동차 포함 실적이며 로봇 단독 아님.</x:v>
      </x:c>
      <x:c r="K59" s="45" t="str">
        <x:v>https://ir.xiaopeng.com/news-releases/news-release-details/xpeng-reports-second-quarter-2026-unaudited-financial-results</x:v>
      </x:c>
      <x:c r="L59" s="45" t="str"/>
      <x:c r="M59" s="45" t="str">
        <x:v>4장 상용화
7장 공급망
8장 투자</x:v>
      </x:c>
    </x:row>
    <x:row r="60" ht="15" hidden="0" customHeight="1">
      <x:c r="A60" s="2"/>
      <x:c r="B60" s="2"/>
      <x:c r="C60" s="45" t="str">
        <x:v>S054</x:v>
      </x:c>
      <x:c r="D60" s="45" t="str">
        <x:v>UBTECH Robotics Corp Ltd (9880:HKG) — Google Finance quote page</x:v>
      </x:c>
      <x:c r="E60" s="45" t="str">
        <x:v>Google Finance</x:v>
      </x:c>
      <x:c r="F60" s="49" t="str">
        <x:v>미확인</x:v>
      </x:c>
      <x:c r="G60" s="49" t="n">
        <x:v>46282</x:v>
      </x:c>
      <x:c r="H60" s="45" t="str">
        <x:v>en</x:v>
      </x:c>
      <x:c r="I60" s="45" t="str">
        <x:v>1차 자료</x:v>
      </x:c>
      <x:c r="J60" s="45" t="str">
        <x:v>FIN019의 재검증은 표시 가격과 전일 증감에서 이전 종가를 역산한 간접 교차확인. 거래소 원시 종가 재확인으로 해석하지 않음. 조회 시각 이후 시세 변동 가능.</x:v>
      </x:c>
      <x:c r="K60" s="45" t="str">
        <x:v>https://www.google.com/finance/quote/9880:HKG</x:v>
      </x:c>
      <x:c r="L60" s="45" t="str"/>
      <x:c r="M60" s="45" t="str">
        <x:v>자료 검증</x:v>
      </x:c>
    </x:row>
    <x:row r="61" ht="15" hidden="0" customHeight="1">
      <x:c r="A61" s="2"/>
      <x:c r="B61" s="2"/>
      <x:c r="C61" s="45" t="str">
        <x:v>S055</x:v>
      </x:c>
      <x:c r="D61" s="45" t="str">
        <x:v>Unitree (688836:SHA) — Google Finance quote page</x:v>
      </x:c>
      <x:c r="E61" s="45" t="str">
        <x:v>Google Finance</x:v>
      </x:c>
      <x:c r="F61" s="49" t="str">
        <x:v>미확인</x:v>
      </x:c>
      <x:c r="G61" s="49" t="n">
        <x:v>46282</x:v>
      </x:c>
      <x:c r="H61" s="45" t="str">
        <x:v>en</x:v>
      </x:c>
      <x:c r="I61" s="45" t="str">
        <x:v>1차 자료</x:v>
      </x:c>
      <x:c r="J61" s="45" t="str">
        <x:v>FIN023의 재검증은 표시 가격과 전일 증감에서 이전 종가를 역산한 간접 교차확인. 거래소 원시 종가 재확인으로 해석하지 않음. 조회 시각 이후 시세 변동 가능.</x:v>
      </x:c>
      <x:c r="K61" s="45" t="str">
        <x:v>https://www.google.com/finance/quote/688836:SHA</x:v>
      </x:c>
      <x:c r="L61" s="45" t="str"/>
      <x:c r="M61" s="45" t="str">
        <x:v>자료 검증</x:v>
      </x:c>
    </x:row>
    <x:row r="62" ht="15" hidden="0" customHeight="1">
      <x:c r="A62" s="2"/>
      <x:c r="B62" s="2"/>
      <x:c r="C62" s="45" t="str">
        <x:v>S056</x:v>
      </x:c>
      <x:c r="D62" s="45" t="str">
        <x:v>로봇 전신제어 구현…구글, '제미나이 로보틱스2' 공개</x:v>
      </x:c>
      <x:c r="E62" s="45" t="str">
        <x:v>전자신문</x:v>
      </x:c>
      <x:c r="F62" s="49" t="n">
        <x:v>46234</x:v>
      </x:c>
      <x:c r="G62" s="49" t="n">
        <x:v>46282</x:v>
      </x:c>
      <x:c r="H62" s="45" t="str">
        <x:v>ko</x:v>
      </x:c>
      <x:c r="I62" s="45" t="str">
        <x:v>1차 자료</x:v>
      </x:c>
      <x:c r="J62" s="45" t="str">
        <x:v>한국어 발표일 교차대조에 사용한 2차 보도. 기술적 내용·성능 판단은 함께 등록된 Google DeepMind 원문을 우선. 제목과 발행일 재개방 확인.</x:v>
      </x:c>
      <x:c r="K62" s="45" t="str">
        <x:v>https://www.etnews.com/20260731000009</x:v>
      </x:c>
      <x:c r="L62" s="45" t="str"/>
      <x:c r="M62" s="45" t="str">
        <x:v>자료 검증</x:v>
      </x:c>
    </x:row>
    <x:row r="63" ht="24" hidden="0" customHeight="1">
      <x:c r="A63" s="2"/>
      <x:c r="B63" s="2"/>
      <x:c r="C63" s="45" t="str">
        <x:v>S057</x:v>
      </x:c>
      <x:c r="D63" s="45" t="str">
        <x:v>FCC Restrictions on Foreign-Produced Advanced Robotic Devices</x:v>
      </x:c>
      <x:c r="E63" s="45" t="str">
        <x:v>International Federation of Robotics</x:v>
      </x:c>
      <x:c r="F63" s="49" t="n">
        <x:v>46241</x:v>
      </x:c>
      <x:c r="G63" s="49" t="n">
        <x:v>46282</x:v>
      </x:c>
      <x:c r="H63" s="45" t="str">
        <x:v>en</x:v>
      </x:c>
      <x:c r="I63" s="45" t="str">
        <x:v>1차 자료</x:v>
      </x:c>
      <x:c r="J63" s="45" t="str">
        <x:v>산업단체의 FCC 조치 해설. 법적 원문은 FCC DA 26-786 및 인용된 FAR 기준을 우선. 기존 승인 제품·업데이트·조건부 승인에 관한 공개 해설만 확인, 개별 승인 목록 검증 아님.</x:v>
      </x:c>
      <x:c r="K63" s="45" t="str">
        <x:v>https://ifr.org/ifr-press-releases/news/fcc-restrictions-on-foreign-produced-advanced-robotic-devices</x:v>
      </x:c>
      <x:c r="L63" s="45" t="str"/>
      <x:c r="M63" s="45" t="str">
        <x:v>자료 검증</x:v>
      </x:c>
    </x:row>
    <x:row r="64" ht="15" hidden="0" customHeight="1">
      <x:c r="A64" s="2"/>
      <x:c r="B64" s="2"/>
      <x:c r="C64" s="45" t="str">
        <x:v>S058</x:v>
      </x:c>
      <x:c r="D64" s="45" t="str">
        <x:v>AI Worker product image asset — aiworker_front.webp</x:v>
      </x:c>
      <x:c r="E64" s="45" t="str">
        <x:v>ROBOTIS</x:v>
      </x:c>
      <x:c r="F64" s="49" t="str">
        <x:v>미확인</x:v>
      </x:c>
      <x:c r="G64" s="49" t="n">
        <x:v>46282</x:v>
      </x:c>
      <x:c r="H64" s="45" t="str">
        <x:v>en</x:v>
      </x:c>
      <x:c r="I64" s="45" t="str">
        <x:v>1차 자료</x:v>
      </x:c>
      <x:c r="J64" s="45" t="str">
        <x:v>공식 제품 이미지 파일. 직접 시각 점검에서 CG 렌더로 판단하여 원본 실사 사진 목록에서 제외. 배포일·실물 촬영일을 추정하지 않음.</x:v>
      </x:c>
      <x:c r="K64" s="45" t="str">
        <x:v>https://www.robotis.com/assets/img/products/aiworker_front.webp</x:v>
      </x:c>
      <x:c r="L64" s="45" t="str"/>
      <x:c r="M64" s="45" t="str">
        <x:v>자료 검증</x:v>
      </x:c>
    </x:row>
    <x:row r="65" ht="24" hidden="0" customHeight="1">
      <x:c r="A65" s="2"/>
      <x:c r="B65" s="2"/>
      <x:c r="C65" s="45" t="str">
        <x:v>S059</x:v>
      </x:c>
      <x:c r="D65" s="45" t="str">
        <x:v>Optimus - Gen 2 | Tesla</x:v>
      </x:c>
      <x:c r="E65" s="45" t="str">
        <x:v>Tesla / YouTube</x:v>
      </x:c>
      <x:c r="F65" s="49" t="str">
        <x:v>미확인</x:v>
      </x:c>
      <x:c r="G65" s="49" t="n">
        <x:v>46282</x:v>
      </x:c>
      <x:c r="H65" s="45" t="str">
        <x:v>en</x:v>
      </x:c>
      <x:c r="I65" s="45" t="str">
        <x:v>1차 자료</x:v>
      </x:c>
      <x:c r="J65" s="45" t="str">
        <x:v>Google YouTube oEmbed로 제목과 게시 채널을 대조. Google YouTube oEmbed metadata only; 전체 재생 미확인. 영상 전체의 무개입·자율성·장기 가동·경제성 검증이 아님.</x:v>
      </x:c>
      <x:c r="K65" s="45" t="str">
        <x:v>https://www.youtube.com/embed/cpraXaw7dyc</x:v>
      </x:c>
      <x:c r="L65" s="45" t="str"/>
      <x:c r="M65" s="45" t="str">
        <x:v>자료 검증</x:v>
      </x:c>
    </x:row>
    <x:row r="66" ht="24" hidden="0" customHeight="1">
      <x:c r="A66" s="2"/>
      <x:c r="B66" s="2"/>
      <x:c r="C66" s="45" t="str">
        <x:v>S060</x:v>
      </x:c>
      <x:c r="D66" s="45" t="str">
        <x:v>Humanoid Figure 02 robots tested at BMW Group Plant Spartanburg</x:v>
      </x:c>
      <x:c r="E66" s="45" t="str">
        <x:v>BMW Group / YouTube</x:v>
      </x:c>
      <x:c r="F66" s="49" t="str">
        <x:v>미확인</x:v>
      </x:c>
      <x:c r="G66" s="49" t="n">
        <x:v>46282</x:v>
      </x:c>
      <x:c r="H66" s="45" t="str">
        <x:v>en</x:v>
      </x:c>
      <x:c r="I66" s="45" t="str">
        <x:v>1차 자료</x:v>
      </x:c>
      <x:c r="J66" s="45" t="str">
        <x:v>Google YouTube oEmbed로 제목과 게시 채널을 대조. Google YouTube oEmbed metadata only; 전체 재생 미확인. 영상 전체의 무개입·자율성·장기 가동·경제성 검증이 아님.</x:v>
      </x:c>
      <x:c r="K66" s="45" t="str">
        <x:v>https://www.youtube.com/embed/xLVm-QKEZSI</x:v>
      </x:c>
      <x:c r="L66" s="45" t="str"/>
      <x:c r="M66" s="45" t="str">
        <x:v>자료 검증</x:v>
      </x:c>
    </x:row>
    <x:row r="67" ht="24" hidden="0" customHeight="1">
      <x:c r="A67" s="2"/>
      <x:c r="B67" s="2"/>
      <x:c r="C67" s="45" t="str">
        <x:v>S061</x:v>
      </x:c>
      <x:c r="D67" s="45" t="str">
        <x:v>Digit's First Day of Work at GXO</x:v>
      </x:c>
      <x:c r="E67" s="45" t="str">
        <x:v>Agility / YouTube</x:v>
      </x:c>
      <x:c r="F67" s="49" t="str">
        <x:v>미확인</x:v>
      </x:c>
      <x:c r="G67" s="49" t="n">
        <x:v>46282</x:v>
      </x:c>
      <x:c r="H67" s="45" t="str">
        <x:v>en</x:v>
      </x:c>
      <x:c r="I67" s="45" t="str">
        <x:v>1차 자료</x:v>
      </x:c>
      <x:c r="J67" s="45" t="str">
        <x:v>Google YouTube oEmbed로 제목과 게시 채널을 대조. Google YouTube oEmbed metadata only; 전체 재생 미확인. 영상 전체의 무개입·자율성·장기 가동·경제성 검증이 아님.</x:v>
      </x:c>
      <x:c r="K67" s="45" t="str">
        <x:v>https://www.youtube.com/embed/AJpTpUqjgrY</x:v>
      </x:c>
      <x:c r="L67" s="45" t="str"/>
      <x:c r="M67" s="45" t="str">
        <x:v>자료 검증</x:v>
      </x:c>
    </x:row>
    <x:row r="68" ht="24" hidden="0" customHeight="1">
      <x:c r="A68" s="2"/>
      <x:c r="B68" s="2"/>
      <x:c r="C68" s="45" t="str">
        <x:v>S062</x:v>
      </x:c>
      <x:c r="D68" s="45" t="str">
        <x:v>All New Atlas | Boston Dynamics</x:v>
      </x:c>
      <x:c r="E68" s="45" t="str">
        <x:v>Boston Dynamics / YouTube</x:v>
      </x:c>
      <x:c r="F68" s="49" t="str">
        <x:v>미확인</x:v>
      </x:c>
      <x:c r="G68" s="49" t="n">
        <x:v>46282</x:v>
      </x:c>
      <x:c r="H68" s="45" t="str">
        <x:v>en</x:v>
      </x:c>
      <x:c r="I68" s="45" t="str">
        <x:v>1차 자료</x:v>
      </x:c>
      <x:c r="J68" s="45" t="str">
        <x:v>Google YouTube oEmbed로 제목과 게시 채널을 대조. Google YouTube oEmbed metadata only; 전체 재생 미확인. 영상 전체의 무개입·자율성·장기 가동·경제성 검증이 아님.</x:v>
      </x:c>
      <x:c r="K68" s="45" t="str">
        <x:v>https://www.youtube.com/embed/29ECwExc-_M</x:v>
      </x:c>
      <x:c r="L68" s="45" t="str"/>
      <x:c r="M68" s="45" t="str">
        <x:v>자료 검증</x:v>
      </x:c>
    </x:row>
    <x:row r="69" ht="24" hidden="0" customHeight="1">
      <x:c r="A69" s="2"/>
      <x:c r="B69" s="2"/>
      <x:c r="C69" s="45" t="str">
        <x:v>S063</x:v>
      </x:c>
      <x:c r="D69" s="45" t="str">
        <x:v>NEO The Home Robot | Order Today</x:v>
      </x:c>
      <x:c r="E69" s="45" t="str">
        <x:v>1X / YouTube</x:v>
      </x:c>
      <x:c r="F69" s="49" t="str">
        <x:v>미확인</x:v>
      </x:c>
      <x:c r="G69" s="49" t="n">
        <x:v>46282</x:v>
      </x:c>
      <x:c r="H69" s="45" t="str">
        <x:v>en</x:v>
      </x:c>
      <x:c r="I69" s="45" t="str">
        <x:v>1차 자료</x:v>
      </x:c>
      <x:c r="J69" s="45" t="str">
        <x:v>Google YouTube oEmbed로 제목과 게시 채널을 대조. Google YouTube oEmbed metadata only; 전체 재생 미확인. 영상 전체의 무개입·자율성·장기 가동·경제성 검증이 아님.</x:v>
      </x:c>
      <x:c r="K69" s="45" t="str">
        <x:v>https://www.youtube.com/embed/LTYMWadOW7c</x:v>
      </x:c>
      <x:c r="L69" s="45" t="str"/>
      <x:c r="M69" s="45" t="str">
        <x:v>자료 검증</x:v>
      </x:c>
    </x:row>
    <x:row r="70" ht="24" hidden="0" customHeight="1">
      <x:c r="A70" s="2"/>
      <x:c r="B70" s="2"/>
      <x:c r="C70" s="45" t="str">
        <x:v>S064</x:v>
      </x:c>
      <x:c r="D70" s="45" t="str">
        <x:v>AGIBOT Livestream Day 1: Multiple AGIBOT G2 Humanoid Robots Working on a Real Tablet Production Line</x:v>
      </x:c>
      <x:c r="E70" s="45" t="str">
        <x:v>AGIBOT / YouTube</x:v>
      </x:c>
      <x:c r="F70" s="49" t="str">
        <x:v>미확인</x:v>
      </x:c>
      <x:c r="G70" s="49" t="n">
        <x:v>46282</x:v>
      </x:c>
      <x:c r="H70" s="45" t="str">
        <x:v>en</x:v>
      </x:c>
      <x:c r="I70" s="45" t="str">
        <x:v>1차 자료</x:v>
      </x:c>
      <x:c r="J70" s="45" t="str">
        <x:v>Google YouTube oEmbed로 제목과 게시 채널을 대조. Google YouTube oEmbed metadata only; 전체 재생 미확인. 영상 전체의 무개입·자율성·장기 가동·경제성 검증이 아님.</x:v>
      </x:c>
      <x:c r="K70" s="45" t="str">
        <x:v>https://www.youtube.com/embed/WKkfB-1YyGk</x:v>
      </x:c>
      <x:c r="L70" s="45" t="str"/>
      <x:c r="M70" s="45" t="str">
        <x:v>자료 검증</x:v>
      </x:c>
    </x:row>
    <x:row r="71" ht="24" hidden="0" customHeight="1">
      <x:c r="A71" s="2"/>
      <x:c r="B71" s="2"/>
      <x:c r="C71" s="45" t="str">
        <x:v>S065</x:v>
      </x:c>
      <x:c r="D71" s="45" t="str">
        <x:v>Gemini Robotics 2 brings whole body intelligence to robots</x:v>
      </x:c>
      <x:c r="E71" s="45" t="str">
        <x:v>Google DeepMind / YouTube</x:v>
      </x:c>
      <x:c r="F71" s="49" t="str">
        <x:v>미확인</x:v>
      </x:c>
      <x:c r="G71" s="49" t="n">
        <x:v>46282</x:v>
      </x:c>
      <x:c r="H71" s="45" t="str">
        <x:v>en</x:v>
      </x:c>
      <x:c r="I71" s="45" t="str">
        <x:v>1차 자료</x:v>
      </x:c>
      <x:c r="J71" s="45" t="str">
        <x:v>Google YouTube oEmbed로 제목과 게시 채널을 대조. Google YouTube oEmbed metadata only; 전체 재생 미확인. 영상 전체의 무개입·자율성·장기 가동·경제성 검증이 아님.</x:v>
      </x:c>
      <x:c r="K71" s="45" t="str">
        <x:v>https://www.youtube.com/embed/4lSQnrMC6nY</x:v>
      </x:c>
      <x:c r="L71" s="45" t="str"/>
      <x:c r="M71" s="45" t="str">
        <x:v>자료 검증</x:v>
      </x:c>
    </x:row>
    <x:row r="72" ht="15" hidden="0" customHeight="1">
      <x:c r="A72" s="2"/>
      <x:c r="B72" s="2"/>
      <x:c r="C72" s="45" t="str">
        <x:v>S066</x:v>
      </x:c>
      <x:c r="D72" s="45" t="str">
        <x:v>Schaeffler–VinDynamics 협력</x:v>
      </x:c>
      <x:c r="E72" s="45" t="str">
        <x:v>Schaeffler</x:v>
      </x:c>
      <x:c r="F72" s="49" t="n">
        <x:v>46134</x:v>
      </x:c>
      <x:c r="G72" s="49" t="n">
        <x:v>46282</x:v>
      </x:c>
      <x:c r="H72" s="45" t="str">
        <x:v>en</x:v>
      </x:c>
      <x:c r="I72" s="45" t="str">
        <x:v>1차 자료</x:v>
      </x:c>
      <x:c r="J72" s="45" t="str">
        <x:v>공식 본문 직접 확인.</x:v>
      </x:c>
      <x:c r="K72" s="45" t="str">
        <x:v>https://www.schaeffler.com/en/investor-relations/events-publications/ir-releases/ir_releases_detail.jsp?id=88184972</x:v>
      </x:c>
      <x:c r="L72" s="45" t="str"/>
      <x:c r="M72" s="45" t="str">
        <x:v>7장 공급망</x:v>
      </x:c>
    </x:row>
    <x:row r="73" ht="15" hidden="0" customHeight="1">
      <x:c r="A73" s="2"/>
      <x:c r="B73" s="2"/>
      <x:c r="C73" s="45" t="str">
        <x:v>S067</x:v>
      </x:c>
      <x:c r="D73" s="45" t="str">
        <x:v>NVIDIA FY2027 Q2 results</x:v>
      </x:c>
      <x:c r="E73" s="45" t="str">
        <x:v>NVIDIA</x:v>
      </x:c>
      <x:c r="F73" s="49" t="n">
        <x:v>46260</x:v>
      </x:c>
      <x:c r="G73" s="49" t="n">
        <x:v>46282</x:v>
      </x:c>
      <x:c r="H73" s="45" t="str">
        <x:v>원문</x:v>
      </x:c>
      <x:c r="I73" s="45" t="str">
        <x:v>issuer financial results</x:v>
      </x:c>
      <x:c r="J73" s="45" t="str">
        <x:v>Quarter ended July 26 financials and cash flow</x:v>
      </x:c>
      <x:c r="K73" s="45" t="str">
        <x:v>https://nvidianews.nvidia.com/news/nvidia-announces-financial-results-for-second-quarter-fiscal-2027</x:v>
      </x:c>
      <x:c r="L73" s="45" t="str"/>
      <x:c r="M73" s="45" t="str">
        <x:v>8장 투자</x:v>
      </x:c>
    </x:row>
    <x:row r="74" ht="15" hidden="0" customHeight="1">
      <x:c r="A74" s="2"/>
      <x:c r="B74" s="2"/>
      <x:c r="C74" s="45" t="str">
        <x:v>S068</x:v>
      </x:c>
      <x:c r="D74" s="45" t="str">
        <x:v>Grant of share awards under the 2025 share scheme</x:v>
      </x:c>
      <x:c r="E74" s="45" t="str">
        <x:v>UBTECH</x:v>
      </x:c>
      <x:c r="F74" s="49" t="n">
        <x:v>46279</x:v>
      </x:c>
      <x:c r="G74" s="49" t="n">
        <x:v>46282</x:v>
      </x:c>
      <x:c r="H74" s="45" t="str">
        <x:v>원문</x:v>
      </x:c>
      <x:c r="I74" s="45" t="str">
        <x:v>issuer exchange announcement</x:v>
      </x:c>
      <x:c r="J74" s="45" t="str">
        <x:v>Conditional share rights, vesting and remaining award capacity</x:v>
      </x:c>
      <x:c r="K74" s="45" t="str">
        <x:v>https://owebsite-cdn.ubtrobot.com/resources/file/2026/09/14/848879175876677.pdf</x:v>
      </x:c>
      <x:c r="L74" s="45" t="str"/>
      <x:c r="M74" s="45" t="str">
        <x:v>8장 투자</x:v>
      </x:c>
    </x:row>
    <x:row r="75" ht="24" hidden="0" customHeight="1">
      <x:c r="A75" s="2"/>
      <x:c r="B75" s="2"/>
      <x:c r="C75" s="45" t="str">
        <x:v>S069</x:v>
      </x:c>
      <x:c r="D75" s="45" t="str">
        <x:v>Unitree investor relations</x:v>
      </x:c>
      <x:c r="E75" s="45" t="str">
        <x:v>Unitree</x:v>
      </x:c>
      <x:c r="F75" s="49" t="str">
        <x:v>미확인</x:v>
      </x:c>
      <x:c r="G75" s="49" t="n">
        <x:v>46282</x:v>
      </x:c>
      <x:c r="H75" s="45" t="str">
        <x:v>원문</x:v>
      </x:c>
      <x:c r="I75" s="45" t="str">
        <x:v>issuer disclosure index</x:v>
      </x:c>
      <x:c r="J75" s="45" t="str">
        <x:v>Official listing and capital-change disclosure links</x:v>
      </x:c>
      <x:c r="K75" s="45" t="str">
        <x:v>https://www.unitree.com/investor/</x:v>
      </x:c>
      <x:c r="L75" s="45" t="str"/>
      <x:c r="M75" s="45" t="str">
        <x:v>8장 투자
7장 공급망</x:v>
      </x:c>
    </x:row>
    <x:row r="76" ht="24" hidden="0" customHeight="1">
      <x:c r="A76" s="2"/>
      <x:c r="B76" s="2"/>
      <x:c r="C76" s="45" t="str">
        <x:v>S070</x:v>
      </x:c>
      <x:c r="D76" s="45" t="str">
        <x:v>关于变更注册资本、公司类型及修订公司章程并办理工商变更登记的公告</x:v>
      </x:c>
      <x:c r="E76" s="45" t="str">
        <x:v>Unitree</x:v>
      </x:c>
      <x:c r="F76" s="49" t="n">
        <x:v>46268</x:v>
      </x:c>
      <x:c r="G76" s="49" t="n">
        <x:v>46282</x:v>
      </x:c>
      <x:c r="H76" s="45" t="str">
        <x:v>원문</x:v>
      </x:c>
      <x:c r="I76" s="45" t="str">
        <x:v>issuer capital-change announcement</x:v>
      </x:c>
      <x:c r="J76" s="45" t="str">
        <x:v>688836, August 19 listing, 40446434 issued in IPO, 404464340 post-issue shares</x:v>
      </x:c>
      <x:c r="K76" s="45" t="str">
        <x:v>https://www.unitree.com/disclosure/listedinfo/announcement/宇树科技 关于变更注册资本、公司类型及修订《公司章程》并办理工商变更登记的公告.pdf</x:v>
      </x:c>
      <x:c r="L76" s="45" t="str"/>
      <x:c r="M76" s="45" t="str">
        <x:v>8장 투자</x:v>
      </x:c>
    </x:row>
    <x:row r="77" ht="24" hidden="0" customHeight="1">
      <x:c r="A77" s="2"/>
      <x:c r="B77" s="2"/>
      <x:c r="C77" s="45" t="str">
        <x:v>S071</x:v>
      </x:c>
      <x:c r="D77" s="45" t="str">
        <x:v>Schaeffler Interim Financial Report H1 2026</x:v>
      </x:c>
      <x:c r="E77" s="45" t="str">
        <x:v>Schaeffler</x:v>
      </x:c>
      <x:c r="F77" s="49" t="n">
        <x:v>46239</x:v>
      </x:c>
      <x:c r="G77" s="49" t="n">
        <x:v>46282</x:v>
      </x:c>
      <x:c r="H77" s="45" t="str">
        <x:v>원문</x:v>
      </x:c>
      <x:c r="I77" s="45" t="str">
        <x:v>issuer interim financial report</x:v>
      </x:c>
      <x:c r="J77" s="45" t="str">
        <x:v>Reported and adjusted EBIT, debt, restricted cash, capex and FCF</x:v>
      </x:c>
      <x:c r="K77" s="45" t="str">
        <x:v>https://www.schaeffler.com/remotemedien/media/_shared_media_rwd/08_investor_relations/reports/2026_h1_schaeffler_interim_financial_report_en_14cvjk.pdf</x:v>
      </x:c>
      <x:c r="L77" s="45" t="str"/>
      <x:c r="M77" s="45" t="str">
        <x:v>8장 투자</x:v>
      </x:c>
    </x:row>
    <x:row r="78" ht="24" hidden="0" customHeight="1">
      <x:c r="A78" s="2"/>
      <x:c r="B78" s="2"/>
      <x:c r="C78" s="45" t="str">
        <x:v>S072</x:v>
      </x:c>
      <x:c r="D78" s="45" t="str">
        <x:v>Schaeffler share basic data</x:v>
      </x:c>
      <x:c r="E78" s="45" t="str">
        <x:v>Schaeffler</x:v>
      </x:c>
      <x:c r="F78" s="49" t="str">
        <x:v>미확인</x:v>
      </x:c>
      <x:c r="G78" s="49" t="n">
        <x:v>46282</x:v>
      </x:c>
      <x:c r="H78" s="45" t="str">
        <x:v>원문</x:v>
      </x:c>
      <x:c r="I78" s="45" t="str">
        <x:v>issuer share information</x:v>
      </x:c>
      <x:c r="J78" s="45" t="str">
        <x:v>SHA0, Frankfurt Prime, 944884641 registered voting shares</x:v>
      </x:c>
      <x:c r="K78" s="45" t="str">
        <x:v>https://www.schaeffler.com/en/investor-relations/share/basic-data/</x:v>
      </x:c>
      <x:c r="L78" s="45" t="str"/>
      <x:c r="M78" s="45" t="str">
        <x:v>8장 투자
7장 공급망</x:v>
      </x:c>
    </x:row>
    <x:row r="79" ht="24" hidden="0" customHeight="1">
      <x:c r="A79" s="2"/>
      <x:c r="B79" s="2"/>
      <x:c r="C79" s="45" t="str">
        <x:v>S073</x:v>
      </x:c>
      <x:c r="D79" s="45" t="str">
        <x:v>THK Consolidated Financial Results for Six Months Ended June 30 2026</x:v>
      </x:c>
      <x:c r="E79" s="45" t="str">
        <x:v>THK</x:v>
      </x:c>
      <x:c r="F79" s="49" t="n">
        <x:v>46239</x:v>
      </x:c>
      <x:c r="G79" s="49" t="n">
        <x:v>46282</x:v>
      </x:c>
      <x:c r="H79" s="45" t="str">
        <x:v>원문</x:v>
      </x:c>
      <x:c r="I79" s="45" t="str">
        <x:v>issuer interim IFRS results</x:v>
      </x:c>
      <x:c r="J79" s="45" t="str">
        <x:v>Continuing operations, discontinued business, cash, borrowing and investing cash flow</x:v>
      </x:c>
      <x:c r="K79" s="45" t="str">
        <x:v>https://www.thk.com/jp/wordpress/wp-content/uploads/2026/08/260805_financial_result_en.pdf</x:v>
      </x:c>
      <x:c r="L79" s="45" t="str"/>
      <x:c r="M79" s="45" t="str">
        <x:v>8장 투자
7장 공급망</x:v>
      </x:c>
    </x:row>
    <x:row r="80" ht="15" hidden="0" customHeight="1">
      <x:c r="A80" s="2"/>
      <x:c r="B80" s="2"/>
      <x:c r="C80" s="45" t="str">
        <x:v>S074</x:v>
      </x:c>
      <x:c r="D80" s="45" t="str">
        <x:v>HDS Japanese investor relations</x:v>
      </x:c>
      <x:c r="E80" s="45" t="str">
        <x:v>Harmonic Drive Systems</x:v>
      </x:c>
      <x:c r="F80" s="49" t="str">
        <x:v>미확인</x:v>
      </x:c>
      <x:c r="G80" s="49" t="n">
        <x:v>46282</x:v>
      </x:c>
      <x:c r="H80" s="45" t="str">
        <x:v>원문</x:v>
      </x:c>
      <x:c r="I80" s="45" t="str">
        <x:v>issuer IR index</x:v>
      </x:c>
      <x:c r="J80" s="45" t="str">
        <x:v>February 27 2026 move from Standard to Prime</x:v>
      </x:c>
      <x:c r="K80" s="45" t="str">
        <x:v>https://www.hds.co.jp/ir/</x:v>
      </x:c>
      <x:c r="L80" s="45" t="str"/>
      <x:c r="M80" s="45" t="str">
        <x:v>8장 투자</x:v>
      </x:c>
    </x:row>
    <x:row r="81" ht="24" hidden="0" customHeight="1">
      <x:c r="A81" s="2"/>
      <x:c r="B81" s="2"/>
      <x:c r="C81" s="45" t="str">
        <x:v>S075</x:v>
      </x:c>
      <x:c r="D81" s="45" t="str">
        <x:v>HDS stock information</x:v>
      </x:c>
      <x:c r="E81" s="45" t="str">
        <x:v>Harmonic Drive Systems</x:v>
      </x:c>
      <x:c r="F81" s="49" t="str">
        <x:v>미확인</x:v>
      </x:c>
      <x:c r="G81" s="49" t="n">
        <x:v>46282</x:v>
      </x:c>
      <x:c r="H81" s="45" t="str">
        <x:v>원문</x:v>
      </x:c>
      <x:c r="I81" s="45" t="str">
        <x:v>issuer share information</x:v>
      </x:c>
      <x:c r="J81" s="45" t="str">
        <x:v>6324 and Tokyo Prime listing</x:v>
      </x:c>
      <x:c r="K81" s="45" t="str">
        <x:v>https://www.hds.co.jp/english/ir/stock/information/</x:v>
      </x:c>
      <x:c r="L81" s="45" t="str"/>
      <x:c r="M81" s="45" t="str">
        <x:v>8장 투자
7장 공급망</x:v>
      </x:c>
    </x:row>
    <x:row r="82" ht="15" hidden="0" customHeight="1">
      <x:c r="A82" s="2"/>
      <x:c r="B82" s="2"/>
      <x:c r="C82" s="45" t="str">
        <x:v>S076</x:v>
      </x:c>
      <x:c r="D82" s="45" t="str">
        <x:v>HDS earnings presentation archive</x:v>
      </x:c>
      <x:c r="E82" s="45" t="str">
        <x:v>Harmonic Drive Systems</x:v>
      </x:c>
      <x:c r="F82" s="49" t="str">
        <x:v>미확인</x:v>
      </x:c>
      <x:c r="G82" s="49" t="n">
        <x:v>46282</x:v>
      </x:c>
      <x:c r="H82" s="45" t="str">
        <x:v>원문</x:v>
      </x:c>
      <x:c r="I82" s="45" t="str">
        <x:v>issuer financial archive</x:v>
      </x:c>
      <x:c r="J82" s="45" t="str">
        <x:v>August 7 FY2027 Q1 presentation existence; numeric extraction incomplete</x:v>
      </x:c>
      <x:c r="K82" s="45" t="str">
        <x:v>https://www.hds.co.jp/ir/event/accounts/</x:v>
      </x:c>
      <x:c r="L82" s="45" t="str"/>
      <x:c r="M82" s="45" t="str">
        <x:v>8장 투자</x:v>
      </x:c>
    </x:row>
    <x:row r="83" ht="15" hidden="0" customHeight="1">
      <x:c r="A83" s="2"/>
      <x:c r="B83" s="2"/>
      <x:c r="C83" s="45" t="str">
        <x:v>S077</x:v>
      </x:c>
      <x:c r="D83" s="45" t="str">
        <x:v>Hexagon investor relations</x:v>
      </x:c>
      <x:c r="E83" s="45" t="str">
        <x:v>Hexagon</x:v>
      </x:c>
      <x:c r="F83" s="49" t="str">
        <x:v>미확인</x:v>
      </x:c>
      <x:c r="G83" s="49" t="n">
        <x:v>46282</x:v>
      </x:c>
      <x:c r="H83" s="45" t="str">
        <x:v>원문</x:v>
      </x:c>
      <x:c r="I83" s="45" t="str">
        <x:v>issuer IR index</x:v>
      </x:c>
      <x:c r="J83" s="45" t="str">
        <x:v>Official report archive and issuer-authorized Investis iframe routing</x:v>
      </x:c>
      <x:c r="K83" s="45" t="str">
        <x:v>https://investors.hexagon.com/</x:v>
      </x:c>
      <x:c r="L83" s="45" t="str"/>
      <x:c r="M83" s="45" t="str">
        <x:v>8장 투자</x:v>
      </x:c>
    </x:row>
    <x:row r="84" ht="24" hidden="0" customHeight="1">
      <x:c r="A84" s="2"/>
      <x:c r="B84" s="2"/>
      <x:c r="C84" s="45" t="str">
        <x:v>S078</x:v>
      </x:c>
      <x:c r="D84" s="45" t="str">
        <x:v>Hexagon Interim Report 1 January - 30 June 2026</x:v>
      </x:c>
      <x:c r="E84" s="45" t="str">
        <x:v>Hexagon</x:v>
      </x:c>
      <x:c r="F84" s="49" t="n">
        <x:v>46232</x:v>
      </x:c>
      <x:c r="G84" s="49" t="n">
        <x:v>46282</x:v>
      </x:c>
      <x:c r="H84" s="45" t="str">
        <x:v>원문</x:v>
      </x:c>
      <x:c r="I84" s="45" t="str">
        <x:v>issuer interim financial report downloaded from official IR iframe</x:v>
      </x:c>
      <x:c r="J84" s="45" t="str">
        <x:v>Q2 continuing operations, cash, debt, capex, Robotics EBITAC adjustment, Octave separation and non-recurring effects; pages 8, 9, 15, 17, 18, 25</x:v>
      </x:c>
      <x:c r="K84" s="45" t="str">
        <x:v>https://airtools-hexagon.prod-mid-euw3.investis.com/sites/airtools-hexagon/files/pr/202607282482-1.pdf</x:v>
      </x:c>
      <x:c r="L84" s="45" t="str"/>
      <x:c r="M84" s="45" t="str">
        <x:v>8장 투자</x:v>
      </x:c>
    </x:row>
    <x:row r="85" ht="15" hidden="0" customHeight="1">
      <x:c r="A85" s="2"/>
      <x:c r="B85" s="2"/>
      <x:c r="C85" s="45" t="str">
        <x:v>S079</x:v>
      </x:c>
      <x:c r="D85" s="45" t="str">
        <x:v>Jabil Posts Third-Quarter Results</x:v>
      </x:c>
      <x:c r="E85" s="45" t="str">
        <x:v>Jabil</x:v>
      </x:c>
      <x:c r="F85" s="49" t="n">
        <x:v>46190</x:v>
      </x:c>
      <x:c r="G85" s="49" t="n">
        <x:v>46282</x:v>
      </x:c>
      <x:c r="H85" s="45" t="str">
        <x:v>원문</x:v>
      </x:c>
      <x:c r="I85" s="45" t="str">
        <x:v>issuer financial results</x:v>
      </x:c>
      <x:c r="J85" s="45" t="str">
        <x:v>FY2026 Q3 earnings, May 31 balance sheet, 9-month cash flows</x:v>
      </x:c>
      <x:c r="K85" s="45" t="str">
        <x:v>https://investors.jabil.com/news/news-details/2026/Jabil-Posts-Third-Quarter-Results/default.aspx</x:v>
      </x:c>
      <x:c r="L85" s="45" t="str"/>
      <x:c r="M85" s="45" t="str">
        <x:v>8장 투자</x:v>
      </x:c>
    </x:row>
    <x:row r="86" ht="15" hidden="0" customHeight="1">
      <x:c r="A86" s="2"/>
      <x:c r="B86" s="2"/>
      <x:c r="C86" s="45" t="str">
        <x:v>S080</x:v>
      </x:c>
      <x:c r="D86" s="45" t="str">
        <x:v>Alphabet Announces Second Quarter 2026 Financial Results</x:v>
      </x:c>
      <x:c r="E86" s="45" t="str">
        <x:v>Alphabet</x:v>
      </x:c>
      <x:c r="F86" s="49" t="n">
        <x:v>46225</x:v>
      </x:c>
      <x:c r="G86" s="49" t="n">
        <x:v>46282</x:v>
      </x:c>
      <x:c r="H86" s="45" t="str">
        <x:v>원문</x:v>
      </x:c>
      <x:c r="I86" s="45" t="str">
        <x:v>issuer financial results</x:v>
      </x:c>
      <x:c r="J86" s="45" t="str">
        <x:v>Q2 operating results, investment gains, cash, securities, long-term debt, equity financing</x:v>
      </x:c>
      <x:c r="K86" s="45" t="str">
        <x:v>https://s206.q4cdn.com/479360582/files/doc_financials/2026/q2/2026q2-alphabet-earnings-release.pdf</x:v>
      </x:c>
      <x:c r="L86" s="45" t="str"/>
      <x:c r="M86" s="45" t="str">
        <x:v>8장 투자</x:v>
      </x:c>
    </x:row>
    <x:row r="87" ht="24" hidden="0" customHeight="1">
      <x:c r="A87" s="2"/>
      <x:c r="B87" s="2"/>
      <x:c r="C87" s="45" t="str">
        <x:v>S081</x:v>
      </x:c>
      <x:c r="D87" s="45" t="str">
        <x:v>tsla market quote</x:v>
      </x:c>
      <x:c r="E87" s="45" t="str">
        <x:v>Google Finance</x:v>
      </x:c>
      <x:c r="F87" s="49" t="str">
        <x:v>미확인</x:v>
      </x:c>
      <x:c r="G87" s="49" t="n">
        <x:v>46282</x:v>
      </x:c>
      <x:c r="H87" s="45" t="str">
        <x:v>원문</x:v>
      </x:c>
      <x:c r="I87" s="45" t="str">
        <x:v>market data</x:v>
      </x:c>
      <x:c r="J87" s="45" t="str">
        <x:v>Displayed quote, timestamp and where internally coherent rounded market capitalization</x:v>
      </x:c>
      <x:c r="K87" s="45" t="str">
        <x:v>https://www.google.com/finance/quote/TSLA:NASDAQ</x:v>
      </x:c>
      <x:c r="L87" s="45" t="str">
        <x:v>Price dates and session type specified per company; delayed quotes and different update timestamps may affect market-cap consistency</x:v>
      </x:c>
      <x:c r="M87" s="45" t="str">
        <x:v>8장 투자</x:v>
      </x:c>
    </x:row>
    <x:row r="88" ht="24" hidden="0" customHeight="1">
      <x:c r="A88" s="2"/>
      <x:c r="B88" s="2"/>
      <x:c r="C88" s="45" t="str">
        <x:v>S082</x:v>
      </x:c>
      <x:c r="D88" s="45" t="str">
        <x:v>nvda market quote</x:v>
      </x:c>
      <x:c r="E88" s="45" t="str">
        <x:v>Google Finance</x:v>
      </x:c>
      <x:c r="F88" s="49" t="str">
        <x:v>미확인</x:v>
      </x:c>
      <x:c r="G88" s="49" t="n">
        <x:v>46282</x:v>
      </x:c>
      <x:c r="H88" s="45" t="str">
        <x:v>원문</x:v>
      </x:c>
      <x:c r="I88" s="45" t="str">
        <x:v>market data</x:v>
      </x:c>
      <x:c r="J88" s="45" t="str">
        <x:v>Displayed quote, timestamp and where internally coherent rounded market capitalization</x:v>
      </x:c>
      <x:c r="K88" s="45" t="str">
        <x:v>https://www.google.com/finance/quote/NVDA:NASDAQ</x:v>
      </x:c>
      <x:c r="L88" s="45" t="str">
        <x:v>Price dates and session type specified per company; delayed quotes and different update timestamps may affect market-cap consistency</x:v>
      </x:c>
      <x:c r="M88" s="45" t="str">
        <x:v>8장 투자</x:v>
      </x:c>
    </x:row>
    <x:row r="89" ht="24" hidden="0" customHeight="1">
      <x:c r="A89" s="2"/>
      <x:c r="B89" s="2"/>
      <x:c r="C89" s="45" t="str">
        <x:v>S083</x:v>
      </x:c>
      <x:c r="D89" s="45" t="str">
        <x:v>ubtech market quote</x:v>
      </x:c>
      <x:c r="E89" s="45" t="str">
        <x:v>Yahoo Finance</x:v>
      </x:c>
      <x:c r="F89" s="49" t="str">
        <x:v>미확인</x:v>
      </x:c>
      <x:c r="G89" s="49" t="n">
        <x:v>46282</x:v>
      </x:c>
      <x:c r="H89" s="45" t="str">
        <x:v>원문</x:v>
      </x:c>
      <x:c r="I89" s="45" t="str">
        <x:v>market data</x:v>
      </x:c>
      <x:c r="J89" s="45" t="str">
        <x:v>Displayed quote, timestamp and where internally coherent rounded market capitalization</x:v>
      </x:c>
      <x:c r="K89" s="45" t="str">
        <x:v>https://finance.yahoo.com/quote/9880.HK/</x:v>
      </x:c>
      <x:c r="L89" s="45" t="str">
        <x:v>Price dates and session type specified per company; delayed quotes and different update timestamps may affect market-cap consistency</x:v>
      </x:c>
      <x:c r="M89" s="45" t="str">
        <x:v>8장 투자</x:v>
      </x:c>
    </x:row>
    <x:row r="90" ht="24" hidden="0" customHeight="1">
      <x:c r="A90" s="2"/>
      <x:c r="B90" s="2"/>
      <x:c r="C90" s="45" t="str">
        <x:v>S084</x:v>
      </x:c>
      <x:c r="D90" s="45" t="str">
        <x:v>unitree market quote</x:v>
      </x:c>
      <x:c r="E90" s="45" t="str">
        <x:v>Futu</x:v>
      </x:c>
      <x:c r="F90" s="49" t="str">
        <x:v>미확인</x:v>
      </x:c>
      <x:c r="G90" s="49" t="n">
        <x:v>46282</x:v>
      </x:c>
      <x:c r="H90" s="45" t="str">
        <x:v>원문</x:v>
      </x:c>
      <x:c r="I90" s="45" t="str">
        <x:v>market data</x:v>
      </x:c>
      <x:c r="J90" s="45" t="str">
        <x:v>Displayed quote, timestamp and where internally coherent rounded market capitalization</x:v>
      </x:c>
      <x:c r="K90" s="45" t="str">
        <x:v>https://www.futunn.com/hk/stock/688836-SH</x:v>
      </x:c>
      <x:c r="L90" s="45" t="str">
        <x:v>Price dates and session type specified per company; delayed quotes and different update timestamps may affect market-cap consistency</x:v>
      </x:c>
      <x:c r="M90" s="45" t="str">
        <x:v>8장 투자</x:v>
      </x:c>
    </x:row>
    <x:row r="91" ht="24" hidden="0" customHeight="1">
      <x:c r="A91" s="2"/>
      <x:c r="B91" s="2"/>
      <x:c r="C91" s="45" t="str">
        <x:v>S085</x:v>
      </x:c>
      <x:c r="D91" s="45" t="str">
        <x:v>schaeffler market quote</x:v>
      </x:c>
      <x:c r="E91" s="45" t="str">
        <x:v>Google Finance</x:v>
      </x:c>
      <x:c r="F91" s="49" t="str">
        <x:v>미확인</x:v>
      </x:c>
      <x:c r="G91" s="49" t="n">
        <x:v>46282</x:v>
      </x:c>
      <x:c r="H91" s="45" t="str">
        <x:v>원문</x:v>
      </x:c>
      <x:c r="I91" s="45" t="str">
        <x:v>market data</x:v>
      </x:c>
      <x:c r="J91" s="45" t="str">
        <x:v>Displayed quote, timestamp and where internally coherent rounded market capitalization</x:v>
      </x:c>
      <x:c r="K91" s="45" t="str">
        <x:v>https://www.google.com/finance/quote/SHA0:ETR</x:v>
      </x:c>
      <x:c r="L91" s="45" t="str">
        <x:v>Price dates and session type specified per company; delayed quotes and different update timestamps may affect market-cap consistency</x:v>
      </x:c>
      <x:c r="M91" s="45" t="str">
        <x:v>8장 투자</x:v>
      </x:c>
    </x:row>
    <x:row r="92" ht="24" hidden="0" customHeight="1">
      <x:c r="A92" s="2"/>
      <x:c r="B92" s="2"/>
      <x:c r="C92" s="45" t="str">
        <x:v>S086</x:v>
      </x:c>
      <x:c r="D92" s="45" t="str">
        <x:v>hds market quote</x:v>
      </x:c>
      <x:c r="E92" s="45" t="str">
        <x:v>Google Finance</x:v>
      </x:c>
      <x:c r="F92" s="49" t="str">
        <x:v>미확인</x:v>
      </x:c>
      <x:c r="G92" s="49" t="n">
        <x:v>46282</x:v>
      </x:c>
      <x:c r="H92" s="45" t="str">
        <x:v>원문</x:v>
      </x:c>
      <x:c r="I92" s="45" t="str">
        <x:v>market data</x:v>
      </x:c>
      <x:c r="J92" s="45" t="str">
        <x:v>Displayed quote, timestamp and where internally coherent rounded market capitalization</x:v>
      </x:c>
      <x:c r="K92" s="45" t="str">
        <x:v>https://www.google.com/finance/quote/6324:TYO</x:v>
      </x:c>
      <x:c r="L92" s="45" t="str">
        <x:v>Price dates and session type specified per company; delayed quotes and different update timestamps may affect market-cap consistency</x:v>
      </x:c>
      <x:c r="M92" s="45" t="str">
        <x:v>8장 투자</x:v>
      </x:c>
    </x:row>
    <x:row r="93" ht="24" hidden="0" customHeight="1">
      <x:c r="A93" s="2"/>
      <x:c r="B93" s="2"/>
      <x:c r="C93" s="45" t="str">
        <x:v>S087</x:v>
      </x:c>
      <x:c r="D93" s="45" t="str">
        <x:v>thk market quote</x:v>
      </x:c>
      <x:c r="E93" s="45" t="str">
        <x:v>Google Finance</x:v>
      </x:c>
      <x:c r="F93" s="49" t="str">
        <x:v>미확인</x:v>
      </x:c>
      <x:c r="G93" s="49" t="n">
        <x:v>46282</x:v>
      </x:c>
      <x:c r="H93" s="45" t="str">
        <x:v>원문</x:v>
      </x:c>
      <x:c r="I93" s="45" t="str">
        <x:v>market data</x:v>
      </x:c>
      <x:c r="J93" s="45" t="str">
        <x:v>Displayed quote, timestamp and where internally coherent rounded market capitalization</x:v>
      </x:c>
      <x:c r="K93" s="45" t="str">
        <x:v>https://www.google.com/finance/quote/6481:TYO</x:v>
      </x:c>
      <x:c r="L93" s="45" t="str">
        <x:v>Price dates and session type specified per company; delayed quotes and different update timestamps may affect market-cap consistency</x:v>
      </x:c>
      <x:c r="M93" s="45" t="str">
        <x:v>8장 투자</x:v>
      </x:c>
    </x:row>
    <x:row r="94" ht="24" hidden="0" customHeight="1">
      <x:c r="A94" s="2"/>
      <x:c r="B94" s="2"/>
      <x:c r="C94" s="45" t="str">
        <x:v>S088</x:v>
      </x:c>
      <x:c r="D94" s="45" t="str">
        <x:v>hexagon market quote</x:v>
      </x:c>
      <x:c r="E94" s="45" t="str">
        <x:v>Google Finance</x:v>
      </x:c>
      <x:c r="F94" s="49" t="str">
        <x:v>미확인</x:v>
      </x:c>
      <x:c r="G94" s="49" t="n">
        <x:v>46282</x:v>
      </x:c>
      <x:c r="H94" s="45" t="str">
        <x:v>원문</x:v>
      </x:c>
      <x:c r="I94" s="45" t="str">
        <x:v>market data</x:v>
      </x:c>
      <x:c r="J94" s="45" t="str">
        <x:v>Displayed quote, timestamp and where internally coherent rounded market capitalization</x:v>
      </x:c>
      <x:c r="K94" s="45" t="str">
        <x:v>https://www.google.com/finance/quote/HEXA-B:STO</x:v>
      </x:c>
      <x:c r="L94" s="45" t="str">
        <x:v>Price dates and session type specified per company; delayed quotes and different update timestamps may affect market-cap consistency</x:v>
      </x:c>
      <x:c r="M94" s="45" t="str">
        <x:v>8장 투자</x:v>
      </x:c>
    </x:row>
    <x:row r="95" ht="24" hidden="0" customHeight="1">
      <x:c r="A95" s="2"/>
      <x:c r="B95" s="2"/>
      <x:c r="C95" s="45" t="str">
        <x:v>S089</x:v>
      </x:c>
      <x:c r="D95" s="45" t="str">
        <x:v>jabil market quote</x:v>
      </x:c>
      <x:c r="E95" s="45" t="str">
        <x:v>Google Finance</x:v>
      </x:c>
      <x:c r="F95" s="49" t="str">
        <x:v>미확인</x:v>
      </x:c>
      <x:c r="G95" s="49" t="n">
        <x:v>46282</x:v>
      </x:c>
      <x:c r="H95" s="45" t="str">
        <x:v>원문</x:v>
      </x:c>
      <x:c r="I95" s="45" t="str">
        <x:v>market data</x:v>
      </x:c>
      <x:c r="J95" s="45" t="str">
        <x:v>Displayed quote, timestamp and where internally coherent rounded market capitalization</x:v>
      </x:c>
      <x:c r="K95" s="45" t="str">
        <x:v>https://www.google.com/finance/quote/JBL:NYSE</x:v>
      </x:c>
      <x:c r="L95" s="45" t="str">
        <x:v>Price dates and session type specified per company; delayed quotes and different update timestamps may affect market-cap consistency</x:v>
      </x:c>
      <x:c r="M95" s="45" t="str">
        <x:v>8장 투자</x:v>
      </x:c>
    </x:row>
    <x:row r="96" ht="24" hidden="0" customHeight="1">
      <x:c r="A96" s="2"/>
      <x:c r="B96" s="2"/>
      <x:c r="C96" s="45" t="str">
        <x:v>S090</x:v>
      </x:c>
      <x:c r="D96" s="45" t="str">
        <x:v>alphabet market quote</x:v>
      </x:c>
      <x:c r="E96" s="45" t="str">
        <x:v>Google Finance</x:v>
      </x:c>
      <x:c r="F96" s="49" t="str">
        <x:v>미확인</x:v>
      </x:c>
      <x:c r="G96" s="49" t="n">
        <x:v>46282</x:v>
      </x:c>
      <x:c r="H96" s="45" t="str">
        <x:v>원문</x:v>
      </x:c>
      <x:c r="I96" s="45" t="str">
        <x:v>market data</x:v>
      </x:c>
      <x:c r="J96" s="45" t="str">
        <x:v>Displayed quote, timestamp and where internally coherent rounded market capitalization</x:v>
      </x:c>
      <x:c r="K96" s="45" t="str">
        <x:v>https://www.google.com/finance/quote/GOOGL:NASDAQ</x:v>
      </x:c>
      <x:c r="L96" s="45" t="str">
        <x:v>Price dates and session type specified per company; delayed quotes and different update timestamps may affect market-cap consistency</x:v>
      </x:c>
      <x:c r="M96" s="45" t="str">
        <x:v>8장 투자</x:v>
      </x:c>
    </x:row>
    <x:row r="97" ht="15" hidden="0" customHeight="1">
      <x:c r="A97" s="2"/>
      <x:c r="B97" s="2"/>
      <x:c r="C97" s="45" t="str">
        <x:v>S091</x:v>
      </x:c>
      <x:c r="D97" s="45" t="str">
        <x:v>현대모비스 Atlas 액추에이터 공급 협약</x:v>
      </x:c>
      <x:c r="E97" s="45" t="str">
        <x:v>Hyundai Mobis</x:v>
      </x:c>
      <x:c r="F97" s="49" t="n">
        <x:v>46029</x:v>
      </x:c>
      <x:c r="G97" s="49" t="n">
        <x:v>46282</x:v>
      </x:c>
      <x:c r="H97" s="45" t="str">
        <x:v>원문</x:v>
      </x:c>
      <x:c r="I97" s="45" t="str">
        <x:v>공식 기업 배포문</x:v>
      </x:c>
      <x:c r="J97" s="45" t="str">
        <x:v>Atlas 구동계 개발·공급 협약</x:v>
      </x:c>
      <x:c r="K97" s="45" t="str">
        <x:v>https://www.prnewswire.com/news-releases/hyundai-mobis-forms-strategic-collaboration-framework-with-boston-dynamics-302656040.html</x:v>
      </x:c>
      <x:c r="L97" s="45" t="str">
        <x:v>납품량·단가·인식매출 미공개</x:v>
      </x:c>
      <x:c r="M97" s="45" t="str">
        <x:v>7장 공급망·8장 재무</x:v>
      </x:c>
    </x:row>
    <x:row r="98" ht="15" hidden="0" customHeight="1">
      <x:c r="A98" s="2"/>
      <x:c r="B98" s="2"/>
      <x:c r="C98" s="45" t="str">
        <x:v>S092</x:v>
      </x:c>
      <x:c r="D98" s="45" t="str">
        <x:v>Boston Dynamics 공식 뉴스</x:v>
      </x:c>
      <x:c r="E98" s="45" t="str">
        <x:v>Boston Dynamics</x:v>
      </x:c>
      <x:c r="F98" s="49" t="str">
        <x:v>미확인</x:v>
      </x:c>
      <x:c r="G98" s="49" t="n">
        <x:v>46282</x:v>
      </x:c>
      <x:c r="H98" s="45" t="str">
        <x:v>원문</x:v>
      </x:c>
      <x:c r="I98" s="45" t="str">
        <x:v>고객 1차자료</x:v>
      </x:c>
      <x:c r="J98" s="45" t="str">
        <x:v>현대모비스 배포문으로 연결</x:v>
      </x:c>
      <x:c r="K98" s="45" t="str">
        <x:v>https://bostondynamics.com/news/</x:v>
      </x:c>
      <x:c r="L98" s="45" t="str">
        <x:v>동일 발표의 교차 게시이며 별개 계약 증빙은 아님</x:v>
      </x:c>
      <x:c r="M98" s="45" t="str">
        <x:v>7장 공급망·8장 재무</x:v>
      </x:c>
    </x:row>
    <x:row r="99" ht="15" hidden="0" customHeight="1">
      <x:c r="A99" s="2"/>
      <x:c r="B99" s="2"/>
      <x:c r="C99" s="45" t="str">
        <x:v>S093</x:v>
      </x:c>
      <x:c r="D99" s="45" t="str">
        <x:v>Meta FAIR 촉각 연구와 원익 협력</x:v>
      </x:c>
      <x:c r="E99" s="45" t="str">
        <x:v>Meta</x:v>
      </x:c>
      <x:c r="F99" s="49" t="n">
        <x:v>45596</x:v>
      </x:c>
      <x:c r="G99" s="49" t="n">
        <x:v>46282</x:v>
      </x:c>
      <x:c r="H99" s="45" t="str">
        <x:v>원문</x:v>
      </x:c>
      <x:c r="I99" s="45" t="str">
        <x:v>협력 상대방 1차자료</x:v>
      </x:c>
      <x:c r="J99" s="45" t="str">
        <x:v>Wonik Robotics 공동개발·제조·유통 역할</x:v>
      </x:c>
      <x:c r="K99" s="45" t="str">
        <x:v>https://ai.meta.com/blog/fair-robotics-open-source/</x:v>
      </x:c>
      <x:c r="L99" s="45" t="str">
        <x:v>출시 목표는 해당 발표 당시 계획</x:v>
      </x:c>
      <x:c r="M99" s="45" t="str">
        <x:v>7장 공급망·8장 재무</x:v>
      </x:c>
    </x:row>
    <x:row r="100" ht="15" hidden="0" customHeight="1">
      <x:c r="A100" s="2"/>
      <x:c r="B100" s="2"/>
      <x:c r="C100" s="45" t="str">
        <x:v>S094</x:v>
      </x:c>
      <x:c r="D100" s="45" t="str">
        <x:v>Allegro Hand V6 F 출시</x:v>
      </x:c>
      <x:c r="E100" s="45" t="str">
        <x:v>Wonik Robotics</x:v>
      </x:c>
      <x:c r="F100" s="49" t="n">
        <x:v>46272</x:v>
      </x:c>
      <x:c r="G100" s="49" t="n">
        <x:v>46282</x:v>
      </x:c>
      <x:c r="H100" s="45" t="str">
        <x:v>원문</x:v>
      </x:c>
      <x:c r="I100" s="45" t="str">
        <x:v>기업 1차자료</x:v>
      </x:c>
      <x:c r="J100" s="45" t="str">
        <x:v>5지20DoF·연구 파트너180개 이상 회사 집계</x:v>
      </x:c>
      <x:c r="K100" s="45" t="str">
        <x:v>https://www.allegrohand.com/sub/about/news.php?bid=4&amp;idx=648&amp;mode=view</x:v>
      </x:c>
      <x:c r="L100" s="45" t="str">
        <x:v>파트너 수는 유료 고객·출하량과 다름</x:v>
      </x:c>
      <x:c r="M100" s="45" t="str">
        <x:v>7장 공급망·8장 재무</x:v>
      </x:c>
    </x:row>
    <x:row r="101" ht="15" hidden="0" customHeight="1">
      <x:c r="A101" s="2"/>
      <x:c r="B101" s="2"/>
      <x:c r="C101" s="45" t="str">
        <x:v>S095</x:v>
      </x:c>
      <x:c r="D101" s="45" t="str">
        <x:v>Allegro Hand V5 Sense</x:v>
      </x:c>
      <x:c r="E101" s="45" t="str">
        <x:v>Wonik Robotics</x:v>
      </x:c>
      <x:c r="F101" s="49" t="str">
        <x:v>미확인</x:v>
      </x:c>
      <x:c r="G101" s="49" t="n">
        <x:v>46282</x:v>
      </x:c>
      <x:c r="H101" s="45" t="str">
        <x:v>원문</x:v>
      </x:c>
      <x:c r="I101" s="45" t="str">
        <x:v>제품 1차자료</x:v>
      </x:c>
      <x:c r="J101" s="45" t="str">
        <x:v>16 압력 감지 채널</x:v>
      </x:c>
      <x:c r="K101" s="45" t="str">
        <x:v>https://www.allegrohand.com/sub/product/p.php?idx=22</x:v>
      </x:c>
      <x:c r="L101" s="45" t="str">
        <x:v>센서 채널 수는 기계 자유도가 아님</x:v>
      </x:c>
      <x:c r="M101" s="45" t="str">
        <x:v>7장 공급망·8장 재무</x:v>
      </x:c>
    </x:row>
    <x:row r="102" ht="15" hidden="0" customHeight="1">
      <x:c r="A102" s="2"/>
      <x:c r="B102" s="2"/>
      <x:c r="C102" s="45" t="str">
        <x:v>S096</x:v>
      </x:c>
      <x:c r="D102" s="45" t="str">
        <x:v>In-Hand Object Rotation via Rapid Motor Adaptation</x:v>
      </x:c>
      <x:c r="E102" s="45" t="str">
        <x:v>UC Berkeley·Meta 연구진</x:v>
      </x:c>
      <x:c r="F102" s="49" t="str">
        <x:v>2022</x:v>
      </x:c>
      <x:c r="G102" s="49" t="n">
        <x:v>46282</x:v>
      </x:c>
      <x:c r="H102" s="45" t="str">
        <x:v>원문</x:v>
      </x:c>
      <x:c r="I102" s="45" t="str">
        <x:v>연구팀 1차자료</x:v>
      </x:c>
      <x:c r="J102" s="45" t="str">
        <x:v>CoRL 2022 실제 손 조작 연구</x:v>
      </x:c>
      <x:c r="K102" s="45" t="str">
        <x:v>https://haozhi.io/hora/</x:v>
      </x:c>
      <x:c r="L102" s="45" t="str">
        <x:v>알고리즘 성과는 연구팀 소유; 산업 운영과 다름</x:v>
      </x:c>
      <x:c r="M102" s="45" t="str">
        <x:v>7장 공급망·8장 재무</x:v>
      </x:c>
    </x:row>
    <x:row r="103" ht="15" hidden="0" customHeight="1">
      <x:c r="A103" s="2"/>
      <x:c r="B103" s="2"/>
      <x:c r="C103" s="45" t="str">
        <x:v>S097</x:v>
      </x:c>
      <x:c r="D103" s="45" t="str">
        <x:v>원익 Allegro 연구 사용 안내</x:v>
      </x:c>
      <x:c r="E103" s="45" t="str">
        <x:v>Wonik Robotics</x:v>
      </x:c>
      <x:c r="F103" s="49" t="n">
        <x:v>44844</x:v>
      </x:c>
      <x:c r="G103" s="49" t="n">
        <x:v>46282</x:v>
      </x:c>
      <x:c r="H103" s="45" t="str">
        <x:v>원문</x:v>
      </x:c>
      <x:c r="I103" s="45" t="str">
        <x:v>기업 1차자료</x:v>
      </x:c>
      <x:c r="J103" s="45" t="str">
        <x:v>외부 Allegro 사용 연구로 연결</x:v>
      </x:c>
      <x:c r="K103" s="45" t="str">
        <x:v>https://www.allegrohand.com/sub/about/news.php?bid=4&amp;idx=153&amp;mode=view</x:v>
      </x:c>
      <x:c r="L103" s="45" t="str">
        <x:v>링크 라벨 오표기 있으나 실제 대상은 HORA 프로젝트</x:v>
      </x:c>
      <x:c r="M103" s="45" t="str">
        <x:v>7장 공급망·8장 재무</x:v>
      </x:c>
    </x:row>
    <x:row r="104" ht="15" hidden="0" customHeight="1">
      <x:c r="A104" s="2"/>
      <x:c r="B104" s="2"/>
      <x:c r="C104" s="45" t="str">
        <x:v>S098</x:v>
      </x:c>
      <x:c r="D104" s="45" t="str">
        <x:v>원익홀딩스 공식 공시 안내</x:v>
      </x:c>
      <x:c r="E104" s="45" t="str">
        <x:v>Wonik Holdings</x:v>
      </x:c>
      <x:c r="F104" s="49" t="str">
        <x:v>미확인</x:v>
      </x:c>
      <x:c r="G104" s="49" t="n">
        <x:v>46282</x:v>
      </x:c>
      <x:c r="H104" s="45" t="str">
        <x:v>원문</x:v>
      </x:c>
      <x:c r="I104" s="45" t="str">
        <x:v>기업 IR</x:v>
      </x:c>
      <x:c r="J104" s="45" t="str">
        <x:v>030530 발행인 확인</x:v>
      </x:c>
      <x:c r="K104" s="45" t="str">
        <x:v>https://www.wonikholdings.kr/ir_04.do</x:v>
      </x:c>
      <x:c r="L104" s="45" t="str">
        <x:v>로봇 개발 법인은 Wonik Robotics</x:v>
      </x:c>
      <x:c r="M104" s="45" t="str">
        <x:v>7장 공급망·8장 재무</x:v>
      </x:c>
    </x:row>
    <x:row r="105" ht="15" hidden="0" customHeight="1">
      <x:c r="A105" s="2"/>
      <x:c r="B105" s="2"/>
      <x:c r="C105" s="45" t="str">
        <x:v>S099</x:v>
      </x:c>
      <x:c r="D105" s="45" t="str">
        <x:v>원익홀딩스 2025사업보고서</x:v>
      </x:c>
      <x:c r="E105" s="45" t="str">
        <x:v>Wonik Holdings</x:v>
      </x:c>
      <x:c r="F105" s="49" t="n">
        <x:v>46100</x:v>
      </x:c>
      <x:c r="G105" s="49" t="n">
        <x:v>46282</x:v>
      </x:c>
      <x:c r="H105" s="45" t="str">
        <x:v>원문</x:v>
      </x:c>
      <x:c r="I105" s="45" t="str">
        <x:v>공식 사업보고서</x:v>
      </x:c>
      <x:c r="J105" s="45" t="str">
        <x:v>2025말 원익로보틱스 지분96.66%; 2025매출32607백만원·순손실2794백만원</x:v>
      </x:c>
      <x:c r="K105" s="45" t="str">
        <x:v>https://www.wonikholdings.kr/ir_01_Detail.do?no_no=34&amp;page=1</x:v>
      </x:c>
      <x:c r="L105" s="45" t="str">
        <x:v>2026년8월신규투자후 지분율이 아님</x:v>
      </x:c>
      <x:c r="M105" s="45" t="str">
        <x:v>7장 공급망·8장 재무</x:v>
      </x:c>
    </x:row>
    <x:row r="106" ht="15" hidden="0" customHeight="1">
      <x:c r="A106" s="2"/>
      <x:c r="B106" s="2"/>
      <x:c r="C106" s="45" t="str">
        <x:v>S100</x:v>
      </x:c>
      <x:c r="D106" s="45" t="str">
        <x:v>국민성장펀드 원익로보틱스 자금지원 승인</x:v>
      </x:c>
      <x:c r="E106" s="45" t="str">
        <x:v>금융위원회</x:v>
      </x:c>
      <x:c r="F106" s="49" t="n">
        <x:v>46262</x:v>
      </x:c>
      <x:c r="G106" s="49" t="n">
        <x:v>46282</x:v>
      </x:c>
      <x:c r="H106" s="45" t="str">
        <x:v>원문</x:v>
      </x:c>
      <x:c r="I106" s="45" t="str">
        <x:v>정부 1차자료</x:v>
      </x:c>
      <x:c r="J106" s="45" t="str">
        <x:v>8월27일 심의; 총3500억원 계획·CPS1500억원·민간2000억원</x:v>
      </x:c>
      <x:c r="K106" s="45" t="str">
        <x:v>https://www.fsc.go.kr/no010101/87609</x:v>
      </x:c>
      <x:c r="L106" s="45" t="str">
        <x:v>조달 계획·투자 승인; 전액입금이나매출 아님</x:v>
      </x:c>
      <x:c r="M106" s="45" t="str">
        <x:v>7장 공급망·8장 재무</x:v>
      </x:c>
    </x:row>
    <x:row r="107" ht="15" hidden="0" customHeight="1">
      <x:c r="A107" s="2"/>
      <x:c r="B107" s="2"/>
      <x:c r="C107" s="45" t="str">
        <x:v>S101</x:v>
      </x:c>
      <x:c r="D107" s="45" t="str">
        <x:v>DG-5F-M 제품 설명</x:v>
      </x:c>
      <x:c r="E107" s="45" t="str">
        <x:v>Tesollo</x:v>
      </x:c>
      <x:c r="F107" s="49" t="str">
        <x:v>미확인</x:v>
      </x:c>
      <x:c r="G107" s="49" t="n">
        <x:v>46282</x:v>
      </x:c>
      <x:c r="H107" s="45" t="str">
        <x:v>원문</x:v>
      </x:c>
      <x:c r="I107" s="45" t="str">
        <x:v>제품 1차자료</x:v>
      </x:c>
      <x:c r="J107" s="45" t="str">
        <x:v>5지20DoF 손</x:v>
      </x:c>
      <x:c r="K107" s="45" t="str">
        <x:v>https://www.tesollo.com/products/grippers/dg-5f-m</x:v>
      </x:c>
      <x:c r="L107" s="45" t="str">
        <x:v>최대하중은 시험방식 확인 필요</x:v>
      </x:c>
      <x:c r="M107" s="45" t="str">
        <x:v>7장 공급망·8장 재무</x:v>
      </x:c>
    </x:row>
    <x:row r="108" ht="15" hidden="0" customHeight="1">
      <x:c r="A108" s="2"/>
      <x:c r="B108" s="2"/>
      <x:c r="C108" s="45" t="str">
        <x:v>S102</x:v>
      </x:c>
      <x:c r="D108" s="45" t="str">
        <x:v>DG-5F-S 제품 설명</x:v>
      </x:c>
      <x:c r="E108" s="45" t="str">
        <x:v>Tesollo</x:v>
      </x:c>
      <x:c r="F108" s="49" t="str">
        <x:v>미확인</x:v>
      </x:c>
      <x:c r="G108" s="49" t="n">
        <x:v>46282</x:v>
      </x:c>
      <x:c r="H108" s="45" t="str">
        <x:v>원문</x:v>
      </x:c>
      <x:c r="I108" s="45" t="str">
        <x:v>제품 1차자료</x:v>
      </x:c>
      <x:c r="J108" s="45" t="str">
        <x:v>경량5지20DoF제품</x:v>
      </x:c>
      <x:c r="K108" s="45" t="str">
        <x:v>https://www.tesollo.com/products/grippers/dg-5f-s</x:v>
      </x:c>
      <x:c r="L108" s="45" t="str">
        <x:v>양산매출·고객별계약 미공개</x:v>
      </x:c>
      <x:c r="M108" s="45" t="str">
        <x:v>7장 공급망·8장 재무</x:v>
      </x:c>
    </x:row>
    <x:row r="109" ht="15" hidden="0" customHeight="1">
      <x:c r="A109" s="2"/>
      <x:c r="B109" s="2"/>
      <x:c r="C109" s="45" t="str">
        <x:v>S103</x:v>
      </x:c>
      <x:c r="D109" s="45" t="str">
        <x:v>HandelBot v3 논문</x:v>
      </x:c>
      <x:c r="E109" s="45" t="str">
        <x:v>Amber Xie·Haozhi Qi·Dorsa Sadigh</x:v>
      </x:c>
      <x:c r="F109" s="49" t="n">
        <x:v>46145</x:v>
      </x:c>
      <x:c r="G109" s="49" t="n">
        <x:v>46282</x:v>
      </x:c>
      <x:c r="H109" s="45" t="str">
        <x:v>원문</x:v>
      </x:c>
      <x:c r="I109" s="45" t="str">
        <x:v>연구 논문 1차자료</x:v>
      </x:c>
      <x:c r="J109" s="45" t="str">
        <x:v>Tesollo DG-5F 실제사용; 곡별30분~1시간; 팔궤적구성과운지제약</x:v>
      </x:c>
      <x:c r="K109" s="45" t="str">
        <x:v>https://arxiv.org/html/2603.12243v3</x:v>
      </x:c>
      <x:c r="L109" s="45" t="str">
        <x:v>연주성공은 공장 일반업무성공률 아님</x:v>
      </x:c>
      <x:c r="M109" s="45" t="str">
        <x:v>7장 공급망·8장 재무</x:v>
      </x:c>
    </x:row>
    <x:row r="110" ht="15" hidden="0" customHeight="1">
      <x:c r="A110" s="2"/>
      <x:c r="B110" s="2"/>
      <x:c r="C110" s="45" t="str">
        <x:v>S104</x:v>
      </x:c>
      <x:c r="D110" s="45" t="str">
        <x:v>DexDrummer v1 논문</x:v>
      </x:c>
      <x:c r="E110" s="45" t="str">
        <x:v>Hung-Chieh Fang 외 Stanford 연구진</x:v>
      </x:c>
      <x:c r="F110" s="49" t="n">
        <x:v>46104</x:v>
      </x:c>
      <x:c r="G110" s="49" t="n">
        <x:v>46282</x:v>
      </x:c>
      <x:c r="H110" s="45" t="str">
        <x:v>원문</x:v>
      </x:c>
      <x:c r="I110" s="45" t="str">
        <x:v>연구 논문 1차자료</x:v>
      </x:c>
      <x:c r="J110" s="45" t="str">
        <x:v>DG-5F 하드웨어; 양손시뮬레이션과 실제한손실험 구분</x:v>
      </x:c>
      <x:c r="K110" s="45" t="str">
        <x:v>https://arxiv.org/html/2603.22263v1</x:v>
      </x:c>
      <x:c r="L110" s="45" t="str">
        <x:v>정책비교 결과를손제조사간성능비교로 사용금지</x:v>
      </x:c>
      <x:c r="M110" s="45" t="str">
        <x:v>7장 공급망·8장 재무</x:v>
      </x:c>
    </x:row>
    <x:row r="111" ht="15" hidden="0" customHeight="1">
      <x:c r="A111" s="2"/>
      <x:c r="B111" s="2"/>
      <x:c r="C111" s="45" t="str">
        <x:v>S105</x:v>
      </x:c>
      <x:c r="D111" s="45" t="str">
        <x:v>Tesollo 연구 채택 공식 소개</x:v>
      </x:c>
      <x:c r="E111" s="45" t="str">
        <x:v>Tesollo</x:v>
      </x:c>
      <x:c r="F111" s="49" t="n">
        <x:v>46232</x:v>
      </x:c>
      <x:c r="G111" s="49" t="n">
        <x:v>46282</x:v>
      </x:c>
      <x:c r="H111" s="45" t="str">
        <x:v>원문</x:v>
      </x:c>
      <x:c r="I111" s="45" t="str">
        <x:v>기업 1차자료</x:v>
      </x:c>
      <x:c r="J111" s="45" t="str">
        <x:v>Stanford 실제채택과 MIT 초청세미나 구별</x:v>
      </x:c>
      <x:c r="K111" s="45" t="str">
        <x:v>https://www.tesollo.com/news/press/tesollo-robotic-hand-adopted-as-a-research-platform-at-stanford-university</x:v>
      </x:c>
      <x:c r="L111" s="45" t="str">
        <x:v>30분 요약은 최신논문 상세와차이</x:v>
      </x:c>
      <x:c r="M111" s="45" t="str">
        <x:v>7장 공급망·8장 재무</x:v>
      </x:c>
    </x:row>
    <x:row r="112" ht="15" hidden="0" customHeight="1">
      <x:c r="A112" s="2"/>
      <x:c r="B112" s="2"/>
      <x:c r="C112" s="45" t="str">
        <x:v>S106</x:v>
      </x:c>
      <x:c r="D112" s="45" t="str">
        <x:v>Tesollo 공식 뉴스 목록</x:v>
      </x:c>
      <x:c r="E112" s="45" t="str">
        <x:v>Tesollo</x:v>
      </x:c>
      <x:c r="F112" s="49" t="str">
        <x:v>미확인</x:v>
      </x:c>
      <x:c r="G112" s="49" t="n">
        <x:v>46282</x:v>
      </x:c>
      <x:c r="H112" s="45" t="str">
        <x:v>원문</x:v>
      </x:c>
      <x:c r="I112" s="45" t="str">
        <x:v>기업 1차자료</x:v>
      </x:c>
      <x:c r="J112" s="45" t="str">
        <x:v>IPO준비6월29일·2027년이후목표; Inception선정</x:v>
      </x:c>
      <x:c r="K112" s="45" t="str">
        <x:v>https://www.tesollo.com/news/press</x:v>
      </x:c>
      <x:c r="L112" s="45" t="str">
        <x:v>IPO준비는 상장완료아님; Inception은 구매아님</x:v>
      </x:c>
      <x:c r="M112" s="45" t="str">
        <x:v>7장 공급망·8장 재무</x:v>
      </x:c>
    </x:row>
    <x:row r="113" ht="15" hidden="0" customHeight="1">
      <x:c r="A113" s="2"/>
      <x:c r="B113" s="2"/>
      <x:c r="C113" s="45" t="str">
        <x:v>S107</x:v>
      </x:c>
      <x:c r="D113" s="45" t="str">
        <x:v>에이딘 제품과 투자 발표</x:v>
      </x:c>
      <x:c r="E113" s="45" t="str">
        <x:v>AIDIN Robotics</x:v>
      </x:c>
      <x:c r="F113" s="49" t="str">
        <x:v>미확인</x:v>
      </x:c>
      <x:c r="G113" s="49" t="n">
        <x:v>46282</x:v>
      </x:c>
      <x:c r="H113" s="45" t="str">
        <x:v>원문</x:v>
      </x:c>
      <x:c r="I113" s="45" t="str">
        <x:v>기업 1차자료</x:v>
      </x:c>
      <x:c r="J113" s="45" t="str">
        <x:v>힘토크·촉각·2026년9월160억원전략투자 및공동개발</x:v>
      </x:c>
      <x:c r="K113" s="45" t="str">
        <x:v>https://www.aidinrobotics.co.kr/</x:v>
      </x:c>
      <x:c r="L113" s="45" t="str">
        <x:v>HD현대와현대차그룹은별개; 상단상대게시일과발표일구분</x:v>
      </x:c>
      <x:c r="M113" s="45" t="str">
        <x:v>7장 공급망·8장 재무</x:v>
      </x:c>
    </x:row>
    <x:row r="114" ht="15" hidden="0" customHeight="1">
      <x:c r="A114" s="2"/>
      <x:c r="B114" s="2"/>
      <x:c r="C114" s="45" t="str">
        <x:v>S108</x:v>
      </x:c>
      <x:c r="D114" s="45" t="str">
        <x:v>AIDIN AIRO-ONE 표면처리 통합 사례</x:v>
      </x:c>
      <x:c r="E114" s="45" t="str">
        <x:v>Zivid</x:v>
      </x:c>
      <x:c r="F114" s="49" t="n">
        <x:v>46148</x:v>
      </x:c>
      <x:c r="G114" s="49" t="n">
        <x:v>46282</x:v>
      </x:c>
      <x:c r="H114" s="45" t="str">
        <x:v>원문</x:v>
      </x:c>
      <x:c r="I114" s="45" t="str">
        <x:v>통합 상대방 1차자료</x:v>
      </x:c>
      <x:c r="J114" s="45" t="str">
        <x:v>6축센서·7축가이드·Zivid MR60통합; 한국제조고객배치설명</x:v>
      </x:c>
      <x:c r="K114" s="45" t="str">
        <x:v>https://www.zivid.com/aidin-robotics-enabling-next-level-automated-surface-finishing-with-high-precision-3d-vision</x:v>
      </x:c>
      <x:c r="L114" s="45" t="str">
        <x:v>명명된최종고객·대수·해외휴머노이드양산채택미공개</x:v>
      </x:c>
      <x:c r="M114" s="45" t="str">
        <x:v>7장 공급망·8장 재무</x:v>
      </x:c>
    </x:row>
    <x:row r="115" ht="15" hidden="0" customHeight="1">
      <x:c r="A115" s="2"/>
      <x:c r="B115" s="2"/>
      <x:c r="C115" s="45" t="str">
        <x:v>S109</x:v>
      </x:c>
      <x:c r="D115" s="45" t="str">
        <x:v>SPG 제품군</x:v>
      </x:c>
      <x:c r="E115" s="45" t="str">
        <x:v>SPG</x:v>
      </x:c>
      <x:c r="F115" s="49" t="str">
        <x:v>미확인</x:v>
      </x:c>
      <x:c r="G115" s="49" t="n">
        <x:v>46282</x:v>
      </x:c>
      <x:c r="H115" s="45" t="str">
        <x:v>원문</x:v>
      </x:c>
      <x:c r="I115" s="45" t="str">
        <x:v>제품 1차자료</x:v>
      </x:c>
      <x:c r="J115" s="45" t="str">
        <x:v>KSH·KSR·유성감속기·SDD액추에이터</x:v>
      </x:c>
      <x:c r="K115" s="45" t="str">
        <x:v>https://www.spg.co.kr/</x:v>
      </x:c>
      <x:c r="L115" s="45" t="str">
        <x:v>고객별양산공급조건 미공개</x:v>
      </x:c>
      <x:c r="M115" s="45" t="str">
        <x:v>7장 공급망·8장 재무</x:v>
      </x:c>
    </x:row>
    <x:row r="116" ht="15" hidden="0" customHeight="1">
      <x:c r="A116" s="2"/>
      <x:c r="B116" s="2"/>
      <x:c r="C116" s="45" t="str">
        <x:v>S110</x:v>
      </x:c>
      <x:c r="D116" s="45" t="str">
        <x:v>SPG 주요 고객 안내</x:v>
      </x:c>
      <x:c r="E116" s="45" t="str">
        <x:v>SPG</x:v>
      </x:c>
      <x:c r="F116" s="49" t="str">
        <x:v>미확인</x:v>
      </x:c>
      <x:c r="G116" s="49" t="n">
        <x:v>46282</x:v>
      </x:c>
      <x:c r="H116" s="45" t="str">
        <x:v>원문</x:v>
      </x:c>
      <x:c r="I116" s="45" t="str">
        <x:v>기업 1차자료</x:v>
      </x:c>
      <x:c r="J116" s="45" t="str">
        <x:v>공식 고객 안내 페이지 존재</x:v>
      </x:c>
      <x:c r="K116" s="45" t="str">
        <x:v>https://www.spg.co.kr/marketing?gnbScroll=1&amp;tab=customers</x:v>
      </x:c>
      <x:c r="L116" s="45" t="str">
        <x:v>동적콘텐츠목록미표시; 고객관계증거로사용안함</x:v>
      </x:c>
      <x:c r="M116" s="45" t="str">
        <x:v>7장 공급망·8장 재무</x:v>
      </x:c>
    </x:row>
    <x:row r="117" ht="15" hidden="0" customHeight="1">
      <x:c r="A117" s="2"/>
      <x:c r="B117" s="2"/>
      <x:c r="C117" s="45" t="str">
        <x:v>S111</x:v>
      </x:c>
      <x:c r="D117" s="45" t="str">
        <x:v>SBB Tech CES 연합 공식 소개</x:v>
      </x:c>
      <x:c r="E117" s="45" t="str">
        <x:v>Humanoid M.AX Alliance</x:v>
      </x:c>
      <x:c r="F117" s="49" t="str">
        <x:v>2026-01</x:v>
      </x:c>
      <x:c r="G117" s="49" t="n">
        <x:v>46282</x:v>
      </x:c>
      <x:c r="H117" s="45" t="str">
        <x:v>원문</x:v>
      </x:c>
      <x:c r="I117" s="45" t="str">
        <x:v>행사 주최측 기업제공 소개</x:v>
      </x:c>
      <x:c r="J117" s="45" t="str">
        <x:v>감속기·액추에이터·코스닥상장이력</x:v>
      </x:c>
      <x:c r="K117" s="45" t="str">
        <x:v>https://www.ces2026-humanoidmaxalliance.com/sbb-tech</x:v>
      </x:c>
      <x:c r="L117" s="45" t="str">
        <x:v>Top3는목표적홍보문구; 실측순위아님</x:v>
      </x:c>
      <x:c r="M117" s="45" t="str">
        <x:v>7장 공급망·8장 재무</x:v>
      </x:c>
    </x:row>
    <x:row r="118" ht="15" hidden="0" customHeight="1">
      <x:c r="A118" s="2"/>
      <x:c r="B118" s="2"/>
      <x:c r="C118" s="45" t="str">
        <x:v>S112</x:v>
      </x:c>
      <x:c r="D118" s="45" t="str">
        <x:v>Neuromeka 휴머노이드 플랫폼</x:v>
      </x:c>
      <x:c r="E118" s="45" t="str">
        <x:v>Neuromeka</x:v>
      </x:c>
      <x:c r="F118" s="49" t="str">
        <x:v>미확인</x:v>
      </x:c>
      <x:c r="G118" s="49" t="n">
        <x:v>46282</x:v>
      </x:c>
      <x:c r="H118" s="45" t="str">
        <x:v>원문</x:v>
      </x:c>
      <x:c r="I118" s="45" t="str">
        <x:v>기업 1차자료</x:v>
      </x:c>
      <x:c r="J118" s="45" t="str">
        <x:v>NAMI·EIR 플랫폼과 VLA/데이터 파이프라인 회사 설명</x:v>
      </x:c>
      <x:c r="K118" s="45" t="str">
        <x:v>https://www.neuromeka.com/humanoids</x:v>
      </x:c>
      <x:c r="L118" s="45" t="str">
        <x:v>해외양산재주문·독립성능순위미공개</x:v>
      </x:c>
      <x:c r="M118" s="45" t="str">
        <x:v>7장 공급망·8장 재무</x:v>
      </x:c>
    </x:row>
    <x:row r="119" ht="15" hidden="0" customHeight="1">
      <x:c r="A119" s="2"/>
      <x:c r="B119" s="2"/>
      <x:c r="C119" s="45" t="str">
        <x:v>S113</x:v>
      </x:c>
      <x:c r="D119" s="45" t="str">
        <x:v>Neuromeka 부품</x:v>
      </x:c>
      <x:c r="E119" s="45" t="str">
        <x:v>Neuromeka</x:v>
      </x:c>
      <x:c r="F119" s="49" t="str">
        <x:v>미확인</x:v>
      </x:c>
      <x:c r="G119" s="49" t="n">
        <x:v>46282</x:v>
      </x:c>
      <x:c r="H119" s="45" t="str">
        <x:v>원문</x:v>
      </x:c>
      <x:c r="I119" s="45" t="str">
        <x:v>제품 1차자료</x:v>
      </x:c>
      <x:c r="J119" s="45" t="str">
        <x:v>모터·감속기·CORE·제어기 제품</x:v>
      </x:c>
      <x:c r="K119" s="45" t="str">
        <x:v>https://www.neuromeka.com/robotparts</x:v>
      </x:c>
      <x:c r="L119" s="45" t="str">
        <x:v>100%내재화표현의전체BOM범위미검증</x:v>
      </x:c>
      <x:c r="M119" s="45" t="str">
        <x:v>7장 공급망·8장 재무</x:v>
      </x:c>
    </x:row>
    <x:row r="120" ht="15" hidden="0" customHeight="1">
      <x:c r="A120" s="2"/>
      <x:c r="B120" s="2"/>
      <x:c r="C120" s="45" t="str">
        <x:v>S114</x:v>
      </x:c>
      <x:c r="D120" s="45" t="str">
        <x:v>SPG 거래 식별자</x:v>
      </x:c>
      <x:c r="E120" s="45" t="str">
        <x:v>Google Finance</x:v>
      </x:c>
      <x:c r="F120" s="49" t="str">
        <x:v>미확인</x:v>
      </x:c>
      <x:c r="G120" s="49" t="n">
        <x:v>46282</x:v>
      </x:c>
      <x:c r="H120" s="45" t="str">
        <x:v>원문</x:v>
      </x:c>
      <x:c r="I120" s="45" t="str">
        <x:v>시장 데이터 2차자료</x:v>
      </x:c>
      <x:c r="J120" s="45" t="str">
        <x:v>058610 KOSDAQ 확인</x:v>
      </x:c>
      <x:c r="K120" s="45" t="str">
        <x:v>https://www.google.com/finance/quote/058610:KOSDAQ</x:v>
      </x:c>
      <x:c r="L120" s="45" t="str">
        <x:v>동시점가격다른페이지차이있어본문주가사용안함</x:v>
      </x:c>
      <x:c r="M120" s="45" t="str">
        <x:v>7장 공급망·8장 재무</x:v>
      </x:c>
    </x:row>
    <x:row r="121" ht="15" hidden="0" customHeight="1">
      <x:c r="A121" s="2"/>
      <x:c r="B121" s="2"/>
      <x:c r="C121" s="45" t="str">
        <x:v>S115</x:v>
      </x:c>
      <x:c r="D121" s="45" t="str">
        <x:v>HandelBot 연구팀 미디어</x:v>
      </x:c>
      <x:c r="E121" s="45" t="str">
        <x:v>HandelBot 연구팀</x:v>
      </x:c>
      <x:c r="F121" s="49" t="str">
        <x:v>미확인</x:v>
      </x:c>
      <x:c r="G121" s="49" t="n">
        <x:v>46282</x:v>
      </x:c>
      <x:c r="H121" s="45" t="str">
        <x:v>원문</x:v>
      </x:c>
      <x:c r="I121" s="45" t="str">
        <x:v>연구팀 1차자료</x:v>
      </x:c>
      <x:c r="J121" s="45" t="str">
        <x:v>실제연주영상과 논문링크</x:v>
      </x:c>
      <x:c r="K121" s="45" t="str">
        <x:v>https://amberxie88.github.io/handelbot/</x:v>
      </x:c>
      <x:c r="L121" s="45" t="str">
        <x:v>프로젝트30분요약과v3세부조건차이</x:v>
      </x:c>
      <x:c r="M121" s="45" t="str">
        <x:v>7장 공급망·8장 재무</x:v>
      </x:c>
    </x:row>
    <x:row r="122" ht="15" hidden="0" customHeight="1">
      <x:c r="A122" s="2"/>
      <x:c r="B122" s="2"/>
      <x:c r="C122" s="45" t="str">
        <x:v>S116</x:v>
      </x:c>
      <x:c r="D122" s="45" t="str">
        <x:v>현대모비스 시장 식별자</x:v>
      </x:c>
      <x:c r="E122" s="45" t="str">
        <x:v>Google Finance</x:v>
      </x:c>
      <x:c r="F122" s="49" t="str">
        <x:v>미확인</x:v>
      </x:c>
      <x:c r="G122" s="49" t="n">
        <x:v>46282</x:v>
      </x:c>
      <x:c r="H122" s="45" t="str">
        <x:v>원문</x:v>
      </x:c>
      <x:c r="I122" s="45" t="str">
        <x:v>시장 데이터 2차자료</x:v>
      </x:c>
      <x:c r="J122" s="45" t="str">
        <x:v>012330 KRX 상장식별자 확인</x:v>
      </x:c>
      <x:c r="K122" s="45" t="str">
        <x:v>https://www.google.com/finance/quote/012330:KRX</x:v>
      </x:c>
      <x:c r="L122" s="45" t="str">
        <x:v>실시간가격변동;본문가격모형입력으로사용안함</x:v>
      </x:c>
      <x:c r="M122" s="45" t="str">
        <x:v>7장 공급망·8장 재무</x:v>
      </x:c>
    </x:row>
    <x:row r="123" ht="48" hidden="0" customHeight="1">
      <x:c r="A123" s="2"/>
      <x:c r="B123" s="2"/>
      <x:c r="C123" s="45" t="str">
        <x:v>S117</x:v>
      </x:c>
      <x:c r="D123" s="45" t="str">
        <x:v>에이딘160억원전략투자와핸드공동개발</x:v>
      </x:c>
      <x:c r="E123" s="45" t="str">
        <x:v>AIDIN Robotics</x:v>
      </x:c>
      <x:c r="F123" s="49" t="str">
        <x:v>2026-09</x:v>
      </x:c>
      <x:c r="G123" s="49" t="n">
        <x:v>46282</x:v>
      </x:c>
      <x:c r="H123" s="45" t="str">
        <x:v>원문</x:v>
      </x:c>
      <x:c r="I123" s="45" t="str">
        <x:v>회사 공식게시 기사</x:v>
      </x:c>
      <x:c r="J123" s="45" t="str">
        <x:v>9월11일발표내용·160억원합계·조선공동개발</x:v>
      </x:c>
      <x:c r="K123" s="45" t="str">
        <x:v>https://www.aidinrobotics.co.kr/post/%EC%97%90%EC%9D%B4%EB%94%98%EB%A1%9C%EB%B3%B4%ED%8B%B1%EC%8A%A4-hd%ED%98%84%EB%8C%80%EB%A1%9C%EB%B3%B4%ED%8B%B1%EC%8A%A4-%EC%82%BC%EC%84%B1%EB%B2%A4%EC%B2%98%ED%88%AC%EC%9E%90%EC%84%9C-160%EC%96%B5-%ED%88%AC%EC%9E%90-%EC%9C%A0%EC%B9%98-%EB%A1%9C%EB%B4%87%ED%95%B8%EB%93%9C-%EA%B3%B5%EB%8F%99%EA%B0%9C%EB%B0%9C</x:v>
      </x:c>
      <x:c r="L123" s="45" t="str">
        <x:v>홈페이지재게시일과원발표일구분;투자계약전체미공개</x:v>
      </x:c>
      <x:c r="M123" s="45" t="str">
        <x:v>7장 공급망·8장 재무</x:v>
      </x:c>
    </x:row>
    <x:row r="124" ht="15" hidden="0" customHeight="1">
      <x:c r="A124" s="2"/>
      <x:c r="B124" s="2"/>
      <x:c r="C124" s="45" t="str">
        <x:v>S118</x:v>
      </x:c>
      <x:c r="D124" s="45" t="str">
        <x:v>Robot Density Surges in Europe, Asia, and Americas</x:v>
      </x:c>
      <x:c r="E124" s="45" t="str">
        <x:v>IFR</x:v>
      </x:c>
      <x:c r="F124" s="49" t="n">
        <x:v>46120</x:v>
      </x:c>
      <x:c r="G124" s="49" t="n">
        <x:v>46282</x:v>
      </x:c>
      <x:c r="H124" s="45" t="str">
        <x:v>en</x:v>
      </x:c>
      <x:c r="I124" s="45" t="str">
        <x:v>primary</x:v>
      </x:c>
      <x:c r="J124" s="45" t="str">
        <x:v>2024 밀도: 한국1220, 세계132. 중국노동통계분모개정. 휴머노이드점유율 아님.</x:v>
      </x:c>
      <x:c r="K124" s="45" t="str">
        <x:v>https://ifr.org/ifr-press-releases/news/robot-density-surges-in-europe-asia-and-americas</x:v>
      </x:c>
      <x:c r="L124" s="45" t="str"/>
      <x:c r="M124" s="45" t="str">
        <x:v>세계 산업 지도</x:v>
      </x:c>
    </x:row>
    <x:row r="125" ht="24" hidden="0" customHeight="1">
      <x:c r="A125" s="2"/>
      <x:c r="B125" s="2"/>
      <x:c r="C125" s="45" t="str">
        <x:v>S119</x:v>
      </x:c>
      <x:c r="D125" s="45" t="str">
        <x:v>Global Robot Demand in Factories Doubles Over 10 Years</x:v>
      </x:c>
      <x:c r="E125" s="45" t="str">
        <x:v>IFR</x:v>
      </x:c>
      <x:c r="F125" s="49" t="n">
        <x:v>45925</x:v>
      </x:c>
      <x:c r="G125" s="49" t="n">
        <x:v>46282</x:v>
      </x:c>
      <x:c r="H125" s="45" t="str">
        <x:v>en</x:v>
      </x:c>
      <x:c r="I125" s="45" t="str">
        <x:v>primary</x:v>
      </x:c>
      <x:c r="J125" s="45" t="str">
        <x:v>2024 산업로봇 한국설치30600/세계542000=5.65% 근사; 생산국아닌설치목적지.</x:v>
      </x:c>
      <x:c r="K125" s="45" t="str">
        <x:v>https://ifr.org/ifr-press-releases/news/global-robot-demand-in-factories-doubles-over-10-years</x:v>
      </x:c>
      <x:c r="L125" s="45" t="str"/>
      <x:c r="M125" s="45" t="str">
        <x:v>세계 산업 지도
산업 개요·경제성·시장</x:v>
      </x:c>
    </x:row>
    <x:row r="126" ht="15" hidden="0" customHeight="1">
      <x:c r="A126" s="2"/>
      <x:c r="B126" s="2"/>
      <x:c r="C126" s="45" t="str">
        <x:v>S120</x:v>
      </x:c>
      <x:c r="D126" s="45" t="str">
        <x:v>2024년 로봇산업 실태조사 결과보고서 공표 안내</x:v>
      </x:c>
      <x:c r="E126" s="45" t="str">
        <x:v>KIRIA / KHIDI</x:v>
      </x:c>
      <x:c r="F126" s="49" t="n">
        <x:v>46022</x:v>
      </x:c>
      <x:c r="G126" s="49" t="n">
        <x:v>46282</x:v>
      </x:c>
      <x:c r="H126" s="45" t="str">
        <x:v>ko</x:v>
      </x:c>
      <x:c r="I126" s="45" t="str">
        <x:v>primary</x:v>
      </x:c>
      <x:c r="J126" s="45" t="str">
        <x:v>KIRIA 12/29 공표를 공공기관KHIDI 12/31 재게시. 첨부PDF전체미열람; 조사대상범위만인용,매출금액미사용.</x:v>
      </x:c>
      <x:c r="K126" s="45" t="str">
        <x:v>https://www.khidi.or.kr/board/view?linkId=48939047&amp;menuId=MENU01498</x:v>
      </x:c>
      <x:c r="L126" s="45" t="str"/>
      <x:c r="M126" s="45" t="str">
        <x:v>세계 산업 지도</x:v>
      </x:c>
    </x:row>
    <x:row r="127" ht="24" hidden="0" customHeight="1">
      <x:c r="A127" s="2"/>
      <x:c r="B127" s="2"/>
      <x:c r="C127" s="45" t="str">
        <x:v>S121</x:v>
      </x:c>
      <x:c r="D127" s="45" t="str">
        <x:v>Boston Dynamics Unveils New Atlas Robot to Revolutionize Industry</x:v>
      </x:c>
      <x:c r="E127" s="45" t="str">
        <x:v>Boston Dynamics</x:v>
      </x:c>
      <x:c r="F127" s="49" t="n">
        <x:v>46027</x:v>
      </x:c>
      <x:c r="G127" s="49" t="n">
        <x:v>46282</x:v>
      </x:c>
      <x:c r="H127" s="45" t="str">
        <x:v>en</x:v>
      </x:c>
      <x:c r="I127" s="45" t="str">
        <x:v>primary</x:v>
      </x:c>
      <x:c r="J127" s="45" t="str">
        <x:v>미국생산거점과현대RMAC/DeepMind배치계획. 제품형과무대시제품분리.</x:v>
      </x:c>
      <x:c r="K127" s="45" t="str">
        <x:v>https://bostondynamics.com/blog/boston-dynamics-unveils-new-atlas-robot-to-revolutionize-industry/</x:v>
      </x:c>
      <x:c r="L127" s="45" t="str"/>
      <x:c r="M127" s="45" t="str">
        <x:v>세계 산업 지도
7장 공급망</x:v>
      </x:c>
    </x:row>
    <x:row r="128" ht="15" hidden="0" customHeight="1">
      <x:c r="A128" s="2"/>
      <x:c r="B128" s="2"/>
      <x:c r="C128" s="45" t="str">
        <x:v>S122</x:v>
      </x:c>
      <x:c r="D128" s="45" t="str">
        <x:v>Robots from South Korea, U.S. Win DARPA Finals</x:v>
      </x:c>
      <x:c r="E128" s="45" t="str">
        <x:v>DoD News / DVIDS</x:v>
      </x:c>
      <x:c r="F128" s="49" t="n">
        <x:v>42161</x:v>
      </x:c>
      <x:c r="G128" s="49" t="n">
        <x:v>46282</x:v>
      </x:c>
      <x:c r="H128" s="45" t="str">
        <x:v>en</x:v>
      </x:c>
      <x:c r="I128" s="45" t="str">
        <x:v>primary</x:v>
      </x:c>
      <x:c r="J128" s="45" t="str">
        <x:v>2015대회기록,2025보관사이트재게시. TeamKAIST우승과Rainbow스핀오프하드웨어역할.</x:v>
      </x:c>
      <x:c r="K128" s="45" t="str">
        <x:v>https://www.dvidshub.net/news/503827/robots-south-korea-us-win-darpa-finals</x:v>
      </x:c>
      <x:c r="L128" s="45" t="str"/>
      <x:c r="M128" s="45" t="str">
        <x:v>세계 산업 지도</x:v>
      </x:c>
    </x:row>
    <x:row r="129" ht="15" hidden="0" customHeight="1">
      <x:c r="A129" s="2"/>
      <x:c r="B129" s="2"/>
      <x:c r="C129" s="45" t="str">
        <x:v>S123</x:v>
      </x:c>
      <x:c r="D129" s="45" t="str">
        <x:v>CES 2026 Highlights | Atlas Makes Its Debut</x:v>
      </x:c>
      <x:c r="E129" s="45" t="str">
        <x:v>Hyundai Motor Group</x:v>
      </x:c>
      <x:c r="F129" s="49" t="n">
        <x:v>46028</x:v>
      </x:c>
      <x:c r="G129" s="49" t="n">
        <x:v>46282</x:v>
      </x:c>
      <x:c r="H129" s="45" t="str">
        <x:v>en</x:v>
      </x:c>
      <x:c r="I129" s="45" t="str">
        <x:v>primary</x:v>
      </x:c>
      <x:c r="J129" s="45" t="str">
        <x:v>Atlas공식영상페이지. 공용템플릿유튜브부정합제외.</x:v>
      </x:c>
      <x:c r="K129" s="45" t="str">
        <x:v>https://www.hyundaimotorgroup.com/en/tv/CONT0000000000198412</x:v>
      </x:c>
      <x:c r="L129" s="45" t="str"/>
      <x:c r="M129" s="45" t="str">
        <x:v>세계 산업 지도</x:v>
      </x:c>
    </x:row>
    <x:row r="130" ht="24" hidden="0" customHeight="1">
      <x:c r="A130" s="2"/>
      <x:c r="B130" s="2"/>
      <x:c r="C130" s="45" t="str">
        <x:v>S124</x:v>
      </x:c>
      <x:c r="D130" s="45" t="str">
        <x:v>AI Worker product and videos</x:v>
      </x:c>
      <x:c r="E130" s="45" t="str">
        <x:v>ROBOTIS</x:v>
      </x:c>
      <x:c r="F130" s="49" t="str">
        <x:v>미확인</x:v>
      </x:c>
      <x:c r="G130" s="49" t="n">
        <x:v>46282</x:v>
      </x:c>
      <x:c r="H130" s="45" t="str">
        <x:v>en</x:v>
      </x:c>
      <x:c r="I130" s="45" t="str">
        <x:v>primary</x:v>
      </x:c>
      <x:c r="J130" s="45" t="str">
        <x:v>공식카드설명과실제영상제목일부불일치; oEmbed검증후실제제목사용.</x:v>
      </x:c>
      <x:c r="K130" s="45" t="str">
        <x:v>https://www.robotis.com/en/product/ecosystem-aiworker.php</x:v>
      </x:c>
      <x:c r="L130" s="45" t="str"/>
      <x:c r="M130" s="45" t="str">
        <x:v>세계 산업 지도
4장 상용화·8장 소유 관계</x:v>
      </x:c>
    </x:row>
    <x:row r="131" ht="15" hidden="0" customHeight="1">
      <x:c r="A131" s="2"/>
      <x:c r="B131" s="2"/>
      <x:c r="C131" s="45" t="str">
        <x:v>S125</x:v>
      </x:c>
      <x:c r="D131" s="45" t="str">
        <x:v>Dual-arm Mobile Manipulator RB-Y1</x:v>
      </x:c>
      <x:c r="E131" s="45" t="str">
        <x:v>Rainbow Robotics</x:v>
      </x:c>
      <x:c r="F131" s="49" t="n">
        <x:v>45735</x:v>
      </x:c>
      <x:c r="G131" s="49" t="n">
        <x:v>46282</x:v>
      </x:c>
      <x:c r="H131" s="45" t="str">
        <x:v>en</x:v>
      </x:c>
      <x:c r="I131" s="45" t="str">
        <x:v>primary</x:v>
      </x:c>
      <x:c r="J131" s="45" t="str">
        <x:v>실시간원격조작명시.</x:v>
      </x:c>
      <x:c r="K131" s="45" t="str">
        <x:v>https://rainbow-robotics.com/dual-arm-mobile-manipulator-rb-y1/</x:v>
      </x:c>
      <x:c r="L131" s="45" t="str"/>
      <x:c r="M131" s="45" t="str">
        <x:v>세계 산업 지도</x:v>
      </x:c>
    </x:row>
    <x:row r="132" ht="15" hidden="0" customHeight="1">
      <x:c r="A132" s="2"/>
      <x:c r="B132" s="2"/>
      <x:c r="C132" s="45" t="str">
        <x:v>S126</x:v>
      </x:c>
      <x:c r="D132" s="45" t="str">
        <x:v>DG-5F-M Robotic Hand: AI-Based In-Hand Manipulation</x:v>
      </x:c>
      <x:c r="E132" s="45" t="str">
        <x:v>TESOLLO</x:v>
      </x:c>
      <x:c r="F132" s="49" t="n">
        <x:v>46211</x:v>
      </x:c>
      <x:c r="G132" s="49" t="n">
        <x:v>46282</x:v>
      </x:c>
      <x:c r="H132" s="45" t="str">
        <x:v>en</x:v>
      </x:c>
      <x:c r="I132" s="45" t="str">
        <x:v>primary</x:v>
      </x:c>
      <x:c r="J132" s="45" t="str">
        <x:v>공식스틸과YouTube연결확인.</x:v>
      </x:c>
      <x:c r="K132" s="45" t="str">
        <x:v>https://www.tesollo.com/news/videos/dg-5f-m-robotic-hand-ai-based-in-hand-manipulation</x:v>
      </x:c>
      <x:c r="L132" s="45" t="str"/>
      <x:c r="M132" s="45" t="str">
        <x:v>세계 산업 지도</x:v>
      </x:c>
    </x:row>
    <x:row r="133" ht="15" hidden="0" customHeight="1">
      <x:c r="A133" s="2"/>
      <x:c r="B133" s="2"/>
      <x:c r="C133" s="45" t="str">
        <x:v>S127</x:v>
      </x:c>
      <x:c r="D133" s="45" t="str">
        <x:v>ICRA 2026 Booth Tour</x:v>
      </x:c>
      <x:c r="E133" s="45" t="str">
        <x:v>TESOLLO</x:v>
      </x:c>
      <x:c r="F133" s="49" t="n">
        <x:v>46175</x:v>
      </x:c>
      <x:c r="G133" s="49" t="n">
        <x:v>46282</x:v>
      </x:c>
      <x:c r="H133" s="45" t="str">
        <x:v>en</x:v>
      </x:c>
      <x:c r="I133" s="45" t="str">
        <x:v>primary</x:v>
      </x:c>
      <x:c r="J133" s="45" t="str">
        <x:v>공식스틸과YouTube연결확인.</x:v>
      </x:c>
      <x:c r="K133" s="45" t="str">
        <x:v>https://www.tesollo.com/news/videos/tesollo-icra-2026-booth-tour-robotic-hands-grippers-humanoid-vla-teleoperation</x:v>
      </x:c>
      <x:c r="L133" s="45" t="str"/>
      <x:c r="M133" s="45" t="str">
        <x:v>세계 산업 지도</x:v>
      </x:c>
    </x:row>
    <x:row r="134" ht="15" hidden="0" customHeight="1">
      <x:c r="A134" s="2"/>
      <x:c r="B134" s="2"/>
      <x:c r="C134" s="45" t="str">
        <x:v>S128</x:v>
      </x:c>
      <x:c r="D134" s="45" t="str">
        <x:v>DRC-Hubo official competition image</x:v>
      </x:c>
      <x:c r="E134" s="45" t="str">
        <x:v>DVIDS / DARPA</x:v>
      </x:c>
      <x:c r="F134" s="49" t="n">
        <x:v>45841</x:v>
      </x:c>
      <x:c r="G134" s="49" t="n">
        <x:v>46282</x:v>
      </x:c>
      <x:c r="H134" s="45" t="str">
        <x:v>en</x:v>
      </x:c>
      <x:c r="I134" s="45" t="str">
        <x:v>primary</x:v>
      </x:c>
      <x:c r="J134" s="45" t="str">
        <x:v>2015촬영자료. 메타날짜06/04와캡션06/05~06불일치유지. 공개1000px미리보기.</x:v>
      </x:c>
      <x:c r="K134" s="45" t="str">
        <x:v>https://www.dvidshub.net/image/9146932/team-kaists-robot-wins-darpa-robotics-challenge-with-wall-cutting-tool</x:v>
      </x:c>
      <x:c r="L134" s="45" t="str"/>
      <x:c r="M134" s="45" t="str">
        <x:v>세계 산업 지도</x:v>
      </x:c>
    </x:row>
    <x:row r="135" ht="15" hidden="0" customHeight="1">
      <x:c r="A135" s="2"/>
      <x:c r="B135" s="2"/>
      <x:c r="C135" s="45" t="str">
        <x:v>S129</x:v>
      </x:c>
      <x:c r="D135" s="45" t="str">
        <x:v>Copyright information</x:v>
      </x:c>
      <x:c r="E135" s="45" t="str">
        <x:v>DVIDS</x:v>
      </x:c>
      <x:c r="F135" s="49" t="str">
        <x:v>미확인</x:v>
      </x:c>
      <x:c r="G135" s="49" t="n">
        <x:v>46282</x:v>
      </x:c>
      <x:c r="H135" s="45" t="str">
        <x:v>en</x:v>
      </x:c>
      <x:c r="I135" s="45" t="str">
        <x:v>primary</x:v>
      </x:c>
      <x:c r="J135" s="45" t="str">
        <x:v>PUBLICDOMAIN과비추천고지조건확인.</x:v>
      </x:c>
      <x:c r="K135" s="45" t="str">
        <x:v>https://www.dvidshub.net/about/copyright</x:v>
      </x:c>
      <x:c r="L135" s="45" t="str"/>
      <x:c r="M135" s="45" t="str">
        <x:v>세계 산업 지도</x:v>
      </x:c>
    </x:row>
    <x:row r="136" ht="15" hidden="0" customHeight="1">
      <x:c r="A136" s="2"/>
      <x:c r="B136" s="2"/>
      <x:c r="C136" s="45" t="str">
        <x:v>S130</x:v>
      </x:c>
      <x:c r="D136" s="45" t="str">
        <x:v>Heritage Story</x:v>
      </x:c>
      <x:c r="E136" s="45" t="str">
        <x:v>Rainbow Robotics</x:v>
      </x:c>
      <x:c r="F136" s="49" t="str">
        <x:v>미확인</x:v>
      </x:c>
      <x:c r="G136" s="49" t="n">
        <x:v>46282</x:v>
      </x:c>
      <x:c r="H136" s="45" t="str">
        <x:v>en</x:v>
      </x:c>
      <x:c r="I136" s="45" t="str">
        <x:v>primary</x:v>
      </x:c>
      <x:c r="J136" s="45" t="str">
        <x:v>현재서사2015우승후창업식표현과2011창업연혁상충; 서사문장을역사근거로사용하지않음.</x:v>
      </x:c>
      <x:c r="K136" s="45" t="str">
        <x:v>https://rainbow-robotics.com/en/company/heritage-story/</x:v>
      </x:c>
      <x:c r="L136" s="45" t="str"/>
      <x:c r="M136" s="45" t="str">
        <x:v>세계 산업 지도</x:v>
      </x:c>
    </x:row>
    <x:row r="137" ht="15" hidden="0" customHeight="1">
      <x:c r="A137" s="2"/>
      <x:c r="B137" s="2"/>
      <x:c r="C137" s="45" t="str">
        <x:v>S131</x:v>
      </x:c>
      <x:c r="D137" s="45" t="str">
        <x:v>Hyundai Motor Group Acquires Boston Dynamics</x:v>
      </x:c>
      <x:c r="E137" s="45" t="str">
        <x:v>Boston Dynamics·Hyundai Motor Group</x:v>
      </x:c>
      <x:c r="F137" s="49" t="n">
        <x:v>44368</x:v>
      </x:c>
      <x:c r="G137" s="49" t="n">
        <x:v>46282</x:v>
      </x:c>
      <x:c r="H137" s="45" t="str">
        <x:v>en</x:v>
      </x:c>
      <x:c r="I137" s="45" t="str">
        <x:v>1차 자료</x:v>
      </x:c>
      <x:c r="J137" s="45" t="str">
        <x:v>2021년 거래 종결, 그룹80%/SoftBank20%; 현재 지분율 아님</x:v>
      </x:c>
      <x:c r="K137" s="45" t="str">
        <x:v>https://bostondynamics.com/news/hyundai-motor-group-completes-acquisition-of-boston-dynamics-from-softbank/</x:v>
      </x:c>
      <x:c r="L137" s="45" t="str"/>
      <x:c r="M137" s="45" t="str">
        <x:v>4장 상용화·8장 소유 관계</x:v>
      </x:c>
    </x:row>
    <x:row r="138" ht="15" hidden="0" customHeight="1">
      <x:c r="A138" s="2"/>
      <x:c r="B138" s="2"/>
      <x:c r="C138" s="45" t="str">
        <x:v>S132</x:v>
      </x:c>
      <x:c r="D138" s="45" t="str">
        <x:v>Boston Dynamics Expands Massachusetts Footprint</x:v>
      </x:c>
      <x:c r="E138" s="45" t="str">
        <x:v>Boston Dynamics</x:v>
      </x:c>
      <x:c r="F138" s="49" t="n">
        <x:v>46197</x:v>
      </x:c>
      <x:c r="G138" s="49" t="n">
        <x:v>46282</x:v>
      </x:c>
      <x:c r="H138" s="45" t="str">
        <x:v>en</x:v>
      </x:c>
      <x:c r="I138" s="45" t="str">
        <x:v>1차 자료</x:v>
      </x:c>
      <x:c r="J138" s="45" t="str">
        <x:v>Waltham 미국 개발·제조거점; 신규거점2027년중반부터 단계이전 계획</x:v>
      </x:c>
      <x:c r="K138" s="45" t="str">
        <x:v>https://bostondynamics.com/news/boston-dynamics-expands-massachusetts-footprint-with-new-323000-square-foot-facility-in-waltham/</x:v>
      </x:c>
      <x:c r="L138" s="45" t="str"/>
      <x:c r="M138" s="45" t="str">
        <x:v>4장 상용화·8장 소유 관계</x:v>
      </x:c>
    </x:row>
    <x:row r="139" ht="15" hidden="0" customHeight="1">
      <x:c r="A139" s="2"/>
      <x:c r="B139" s="2"/>
      <x:c r="C139" s="45" t="str">
        <x:v>S133</x:v>
      </x:c>
      <x:c r="D139" s="45" t="str">
        <x:v>Samsung Electronics To Become Largest Shareholder in Rainbow Robotics</x:v>
      </x:c>
      <x:c r="E139" s="45" t="str">
        <x:v>Samsung Electronics</x:v>
      </x:c>
      <x:c r="F139" s="49" t="n">
        <x:v>45657</x:v>
      </x:c>
      <x:c r="G139" s="49" t="n">
        <x:v>46282</x:v>
      </x:c>
      <x:c r="H139" s="45" t="str">
        <x:v>en</x:v>
      </x:c>
      <x:c r="I139" s="45" t="str">
        <x:v>1차 자료</x:v>
      </x:c>
      <x:c r="J139" s="45" t="str">
        <x:v>콜옵션으로35%와연결편입 계획, HUBO연구진기원, 협동·양팔모바일·AMR협력</x:v>
      </x:c>
      <x:c r="K139" s="45" t="str">
        <x:v>https://news.samsung.com/global/samsung-electronics-to-become-largest-shareholder-in-rainbow-robotics-accelerating-future-robot-development</x:v>
      </x:c>
      <x:c r="L139" s="45" t="str"/>
      <x:c r="M139" s="45" t="str">
        <x:v>4장 상용화·8장 소유 관계</x:v>
      </x:c>
    </x:row>
    <x:row r="140" ht="15" hidden="0" customHeight="1">
      <x:c r="A140" s="2"/>
      <x:c r="B140" s="2"/>
      <x:c r="C140" s="45" t="str">
        <x:v>S134</x:v>
      </x:c>
      <x:c r="D140" s="45" t="str">
        <x:v>삼성전자–레인보우로보틱스 기업결합 승인</x:v>
      </x:c>
      <x:c r="E140" s="45" t="str">
        <x:v>공정거래위원회 / KDI 원문 보관</x:v>
      </x:c>
      <x:c r="F140" s="49" t="n">
        <x:v>45721</x:v>
      </x:c>
      <x:c r="G140" s="49" t="n">
        <x:v>46282</x:v>
      </x:c>
      <x:c r="H140" s="45" t="str">
        <x:v>ko</x:v>
      </x:c>
      <x:c r="I140" s="45" t="str">
        <x:v>1차 자료</x:v>
      </x:c>
      <x:c r="J140" s="45" t="str">
        <x:v>20.29%추가취득해35%보유하는 기업결합 승인</x:v>
      </x:c>
      <x:c r="K140" s="45" t="str">
        <x:v>https://eiec.kdi.re.kr/policy/materialView.do?num=263955</x:v>
      </x:c>
      <x:c r="L140" s="45" t="str"/>
      <x:c r="M140" s="45" t="str">
        <x:v>4장 상용화·8장 소유 관계</x:v>
      </x:c>
    </x:row>
    <x:row r="141" ht="15" hidden="0" customHeight="1">
      <x:c r="A141" s="2"/>
      <x:c r="B141" s="2"/>
      <x:c r="C141" s="45" t="str">
        <x:v>S135</x:v>
      </x:c>
      <x:c r="D141" s="45" t="str">
        <x:v>KAIST’s DRC-HUBO Wins the DARPA Robotics Challenge 2015</x:v>
      </x:c>
      <x:c r="E141" s="45" t="str">
        <x:v>KAIST</x:v>
      </x:c>
      <x:c r="F141" s="49" t="n">
        <x:v>42162</x:v>
      </x:c>
      <x:c r="G141" s="49" t="n">
        <x:v>46282</x:v>
      </x:c>
      <x:c r="H141" s="45" t="str">
        <x:v>en</x:v>
      </x:c>
      <x:c r="I141" s="45" t="str">
        <x:v>1차 자료</x:v>
      </x:c>
      <x:c r="J141" s="45" t="str">
        <x:v>당시대회우승;2026제품상업경쟁력과구분</x:v>
      </x:c>
      <x:c r="K141" s="45" t="str">
        <x:v>https://www.kaist.ac.kr/newsen/html/news/?mng_no=4379&amp;mode=V</x:v>
      </x:c>
      <x:c r="L141" s="45" t="str"/>
      <x:c r="M141" s="45" t="str">
        <x:v>4장 상용화·8장 소유 관계</x:v>
      </x:c>
    </x:row>
    <x:row r="142" ht="15" hidden="0" customHeight="1">
      <x:c r="A142" s="2"/>
      <x:c r="B142" s="2"/>
      <x:c r="C142" s="45" t="str">
        <x:v>S136</x:v>
      </x:c>
      <x:c r="D142" s="45" t="str">
        <x:v>RB-Y1 official specifications</x:v>
      </x:c>
      <x:c r="E142" s="45" t="str">
        <x:v>Rainbow Robotics</x:v>
      </x:c>
      <x:c r="F142" s="49" t="str">
        <x:v>미확인</x:v>
      </x:c>
      <x:c r="G142" s="49" t="n">
        <x:v>46282</x:v>
      </x:c>
      <x:c r="H142" s="45" t="str">
        <x:v>ko</x:v>
      </x:c>
      <x:c r="I142" s="45" t="str">
        <x:v>1차 자료</x:v>
      </x:c>
      <x:c r="J142" s="45" t="str">
        <x:v>조작20DOF;본문전체24와표전체20/26불일치,전체합계단정제외.제조사사양</x:v>
      </x:c>
      <x:c r="K142" s="45" t="str">
        <x:v>https://rainbow-robotics.com/products/rb-y1/</x:v>
      </x:c>
      <x:c r="L142" s="45" t="str"/>
      <x:c r="M142" s="45" t="str">
        <x:v>4장 상용화·8장 소유 관계</x:v>
      </x:c>
    </x:row>
    <x:row r="143" ht="15" hidden="0" customHeight="1">
      <x:c r="A143" s="2"/>
      <x:c r="B143" s="2"/>
      <x:c r="C143" s="45" t="str">
        <x:v>S137</x:v>
      </x:c>
      <x:c r="D143" s="45" t="str">
        <x:v>WARP: Whole-Body Retargeting for Learning from Offline Human Demonstrations</x:v>
      </x:c>
      <x:c r="E143" s="45" t="str">
        <x:v>Georgia Tech 연구진 / arXiv</x:v>
      </x:c>
      <x:c r="F143" s="49" t="n">
        <x:v>46253</x:v>
      </x:c>
      <x:c r="G143" s="49" t="n">
        <x:v>46282</x:v>
      </x:c>
      <x:c r="H143" s="45" t="str">
        <x:v>en</x:v>
      </x:c>
      <x:c r="I143" s="45" t="str">
        <x:v>1차 자료</x:v>
      </x:c>
      <x:c r="J143" s="45" t="str">
        <x:v>RB-Y1 실물; 별도XHands,AprilTags,Vicon 사용.원문제약확인</x:v>
      </x:c>
      <x:c r="K143" s="45" t="str">
        <x:v>https://arxiv.org/html/2606.29940v2</x:v>
      </x:c>
      <x:c r="L143" s="45" t="str"/>
      <x:c r="M143" s="45" t="str">
        <x:v>4장 상용화·8장 소유 관계</x:v>
      </x:c>
    </x:row>
    <x:row r="144" ht="15" hidden="0" customHeight="1">
      <x:c r="A144" s="2"/>
      <x:c r="B144" s="2"/>
      <x:c r="C144" s="45" t="str">
        <x:v>S138</x:v>
      </x:c>
      <x:c r="D144" s="45" t="str">
        <x:v>X-OP: Cross-Morphology Whole-Body Teleoperation via MPC Retargeting</x:v>
      </x:c>
      <x:c r="E144" s="45" t="str">
        <x:v>Amazon·UC Berkeley 연구진 / arXiv</x:v>
      </x:c>
      <x:c r="F144" s="49" t="n">
        <x:v>46179</x:v>
      </x:c>
      <x:c r="G144" s="49" t="n">
        <x:v>46282</x:v>
      </x:c>
      <x:c r="H144" s="45" t="str">
        <x:v>en</x:v>
      </x:c>
      <x:c r="I144" s="45" t="str">
        <x:v>1차 자료</x:v>
      </x:c>
      <x:c r="J144" s="45" t="str">
        <x:v>UnitreeG1·RainbowRB-Y1 실물실험.연구실통제실험이며생산배치아님명시</x:v>
      </x:c>
      <x:c r="K144" s="45" t="str">
        <x:v>https://arxiv.org/html/2606.07934v1</x:v>
      </x:c>
      <x:c r="L144" s="45" t="str"/>
      <x:c r="M144" s="45" t="str">
        <x:v>4장 상용화·8장 소유 관계</x:v>
      </x:c>
    </x:row>
    <x:row r="145" ht="15" hidden="0" customHeight="1">
      <x:c r="A145" s="2"/>
      <x:c r="B145" s="2"/>
      <x:c r="C145" s="45" t="str">
        <x:v>S139</x:v>
      </x:c>
      <x:c r="D145" s="45" t="str">
        <x:v>ViperX-300 6DOF component documentation</x:v>
      </x:c>
      <x:c r="E145" s="45" t="str">
        <x:v>Trossen Robotics</x:v>
      </x:c>
      <x:c r="F145" s="49" t="str">
        <x:v>미확인</x:v>
      </x:c>
      <x:c r="G145" s="49" t="n">
        <x:v>46282</x:v>
      </x:c>
      <x:c r="H145" s="45" t="str">
        <x:v>en</x:v>
      </x:c>
      <x:c r="I145" s="45" t="str">
        <x:v>1차 자료</x:v>
      </x:c>
      <x:c r="J145" s="45" t="str">
        <x:v>ROBOTIS DYNAMIXEL X/XM540/XM430부품채택을고객측문서로확인</x:v>
      </x:c>
      <x:c r="K145" s="45" t="str">
        <x:v>https://docs.trossenrobotics.com/interbotix_xsarms_docs/specifications/vx300s.html</x:v>
      </x:c>
      <x:c r="L145" s="45" t="str"/>
      <x:c r="M145" s="45" t="str">
        <x:v>4장 상용화·8장 소유 관계</x:v>
      </x:c>
    </x:row>
    <x:row r="146" ht="15" hidden="0" customHeight="1">
      <x:c r="A146" s="2"/>
      <x:c r="B146" s="2"/>
      <x:c r="C146" s="45" t="str">
        <x:v>S140</x:v>
      </x:c>
      <x:c r="D146" s="45" t="str">
        <x:v>ALOHA 2: An Enhanced Low-Cost Hardware for Bimanual Teleoperation</x:v>
      </x:c>
      <x:c r="E146" s="45" t="str">
        <x:v>ALOHA 2 연구팀</x:v>
      </x:c>
      <x:c r="F146" s="49" t="str">
        <x:v>2024</x:v>
      </x:c>
      <x:c r="G146" s="49" t="n">
        <x:v>46282</x:v>
      </x:c>
      <x:c r="H146" s="45" t="str">
        <x:v>en</x:v>
      </x:c>
      <x:c r="I146" s="45" t="str">
        <x:v>1차 자료</x:v>
      </x:c>
      <x:c r="J146" s="45" t="str">
        <x:v>연구팀이 Trossen팔과키트로연결;부품업체의Google직접공급계약증거는아님</x:v>
      </x:c>
      <x:c r="K146" s="45" t="str">
        <x:v>https://aloha-2.github.io/</x:v>
      </x:c>
      <x:c r="L146" s="45" t="str"/>
      <x:c r="M146" s="45" t="str">
        <x:v>4장 상용화·8장 소유 관계</x:v>
      </x:c>
    </x:row>
    <x:row r="147" ht="15" hidden="0" customHeight="1">
      <x:c r="A147" s="2"/>
      <x:c r="B147" s="2"/>
      <x:c r="C147" s="45" t="str">
        <x:v>S141</x:v>
      </x:c>
      <x:c r="D147" s="45" t="str">
        <x:v>AI Sapiens official platform page</x:v>
      </x:c>
      <x:c r="E147" s="45" t="str">
        <x:v>ROBOTIS</x:v>
      </x:c>
      <x:c r="F147" s="49" t="str">
        <x:v>미확인</x:v>
      </x:c>
      <x:c r="G147" s="49" t="n">
        <x:v>46282</x:v>
      </x:c>
      <x:c r="H147" s="45" t="str">
        <x:v>en</x:v>
      </x:c>
      <x:c r="I147" s="45" t="str">
        <x:v>1차 자료</x:v>
      </x:c>
      <x:c r="J147" s="45" t="str">
        <x:v>DYNAMIXELQ/23DOF이족연구플랫폼;제품공개와실납품구분</x:v>
      </x:c>
      <x:c r="K147" s="45" t="str">
        <x:v>https://www.robotis.com/en/product/ecosystem-aisapiens.php</x:v>
      </x:c>
      <x:c r="L147" s="45" t="str"/>
      <x:c r="M147" s="45" t="str">
        <x:v>4장 상용화·8장 소유 관계</x:v>
      </x:c>
    </x:row>
    <x:row r="148" ht="15" hidden="0" customHeight="1">
      <x:c r="A148" s="2"/>
      <x:c r="B148" s="2"/>
      <x:c r="C148" s="45" t="str">
        <x:v>S142</x:v>
      </x:c>
      <x:c r="D148" s="45" t="str">
        <x:v>OMY official platform page</x:v>
      </x:c>
      <x:c r="E148" s="45" t="str">
        <x:v>ROBOTIS</x:v>
      </x:c>
      <x:c r="F148" s="49" t="str">
        <x:v>미확인</x:v>
      </x:c>
      <x:c r="G148" s="49" t="n">
        <x:v>46282</x:v>
      </x:c>
      <x:c r="H148" s="45" t="str">
        <x:v>en</x:v>
      </x:c>
      <x:c r="I148" s="45" t="str">
        <x:v>1차 자료</x:v>
      </x:c>
      <x:c r="J148" s="45" t="str">
        <x:v>DYNAMIXELY6DOF조작기;이족완성체아님</x:v>
      </x:c>
      <x:c r="K148" s="45" t="str">
        <x:v>https://www.robotis.com/en/product/ecosystem-omy.php</x:v>
      </x:c>
      <x:c r="L148" s="45" t="str"/>
      <x:c r="M148" s="45" t="str">
        <x:v>4장 상용화·8장 소유 관계</x:v>
      </x:c>
    </x:row>
    <x:row r="149" ht="15" hidden="0" customHeight="1">
      <x:c r="A149" s="2"/>
      <x:c r="B149" s="2"/>
      <x:c r="C149" s="45" t="str">
        <x:v>S143</x:v>
      </x:c>
      <x:c r="D149" s="45" t="str">
        <x:v>Doosan Robotics Expands Frankfurt Branch</x:v>
      </x:c>
      <x:c r="E149" s="45" t="str">
        <x:v>Doosan Robotics</x:v>
      </x:c>
      <x:c r="F149" s="49" t="n">
        <x:v>46162</x:v>
      </x:c>
      <x:c r="G149" s="49" t="n">
        <x:v>46282</x:v>
      </x:c>
      <x:c r="H149" s="45" t="str">
        <x:v>en</x:v>
      </x:c>
      <x:c r="I149" s="45" t="str">
        <x:v>1차 자료</x:v>
      </x:c>
      <x:c r="J149" s="45" t="str">
        <x:v>독일현지부품재고/수리/교육/응용개발 서비스확장</x:v>
      </x:c>
      <x:c r="K149" s="45" t="str">
        <x:v>https://www.doosanrobotics.com/en/about/promotion/news/doosan-robotics-strengthens-european-presence-expanded-frankfurt-branch</x:v>
      </x:c>
      <x:c r="L149" s="45" t="str"/>
      <x:c r="M149" s="45" t="str">
        <x:v>4장 상용화·8장 소유 관계</x:v>
      </x:c>
    </x:row>
    <x:row r="150" ht="15" hidden="0" customHeight="1">
      <x:c r="A150" s="2"/>
      <x:c r="B150" s="2"/>
      <x:c r="C150" s="45" t="str">
        <x:v>S144</x:v>
      </x:c>
      <x:c r="D150" s="45" t="str">
        <x:v>Doosan to Supply Large-Scale Robot Solutions to Kwangjin</x:v>
      </x:c>
      <x:c r="E150" s="45" t="str">
        <x:v>Doosan Robotics</x:v>
      </x:c>
      <x:c r="F150" s="49" t="n">
        <x:v>46090</x:v>
      </x:c>
      <x:c r="G150" s="49" t="n">
        <x:v>46282</x:v>
      </x:c>
      <x:c r="H150" s="45" t="str">
        <x:v>en</x:v>
      </x:c>
      <x:c r="I150" s="45" t="str">
        <x:v>1차 자료</x:v>
      </x:c>
      <x:c r="J150" s="45" t="str">
        <x:v>기존공정도입,100이상솔루션2027까지MOU/후속공급표현;완료납품아님</x:v>
      </x:c>
      <x:c r="K150" s="45" t="str">
        <x:v>https://www.doosanrobotics.com/en/about/promotion/news/doosan-supply-large-scale-robot-solutions-kwangjin</x:v>
      </x:c>
      <x:c r="L150" s="45" t="str"/>
      <x:c r="M150" s="45" t="str">
        <x:v>4장 상용화·8장 소유 관계</x:v>
      </x:c>
    </x:row>
    <x:row r="151" ht="15" hidden="0" customHeight="1">
      <x:c r="A151" s="2"/>
      <x:c r="B151" s="2"/>
      <x:c r="C151" s="45" t="str">
        <x:v>S145</x:v>
      </x:c>
      <x:c r="D151" s="45" t="str">
        <x:v>Kwangjin Achieves Near-Zero Defects with Doosan Cobots</x:v>
      </x:c>
      <x:c r="E151" s="45" t="str">
        <x:v>머니투데이 취재 / Doosan Robotics 재게시</x:v>
      </x:c>
      <x:c r="F151" s="49" t="n">
        <x:v>46199</x:v>
      </x:c>
      <x:c r="G151" s="49" t="n">
        <x:v>46282</x:v>
      </x:c>
      <x:c r="H151" s="45" t="str">
        <x:v>en</x:v>
      </x:c>
      <x:c r="I151" s="45" t="str">
        <x:v>1차 자료</x:v>
      </x:c>
      <x:c r="J151" s="45" t="str">
        <x:v>현장취재19대/near-zero;기업공식독립실험데이터아님.제로일반화제외</x:v>
      </x:c>
      <x:c r="K151" s="45" t="str">
        <x:v>https://www.doosanrobotics.com/en/about/promotion/news/kwangjin-achieves-near-zero-defects-with-doosan-cobots</x:v>
      </x:c>
      <x:c r="L151" s="45" t="str"/>
      <x:c r="M151" s="45" t="str">
        <x:v>4장 상용화·8장 소유 관계</x:v>
      </x:c>
    </x:row>
    <x:row r="152" ht="15" hidden="0" customHeight="1">
      <x:c r="A152" s="2"/>
      <x:c r="B152" s="2"/>
      <x:c r="C152" s="45" t="str">
        <x:v>S146</x:v>
      </x:c>
      <x:c r="D152" s="45" t="str">
        <x:v>Doosan Robotics Unveils AI Palletizing Solution PalletizHD+ at Automate 2026</x:v>
      </x:c>
      <x:c r="E152" s="45" t="str">
        <x:v>Doosan Robotics</x:v>
      </x:c>
      <x:c r="F152" s="49" t="n">
        <x:v>46195</x:v>
      </x:c>
      <x:c r="G152" s="49" t="n">
        <x:v>46282</x:v>
      </x:c>
      <x:c r="H152" s="45" t="str">
        <x:v>en</x:v>
      </x:c>
      <x:c r="I152" s="45" t="str">
        <x:v>1차 자료</x:v>
      </x:c>
      <x:c r="J152" s="45" t="str">
        <x:v>PalletizOS/SwiftMove/Scan&amp;Go2.0,최대11상자분은제조사설명</x:v>
      </x:c>
      <x:c r="K152" s="45" t="str">
        <x:v>https://www.doosanrobotics.com/en/about/promotion/news/doosan-robotics-ai-palletizing-solution-palletizhd-plus-automate-2026</x:v>
      </x:c>
      <x:c r="L152" s="45" t="str"/>
      <x:c r="M152" s="45" t="str">
        <x:v>4장 상용화·8장 소유 관계</x:v>
      </x:c>
    </x:row>
    <x:row r="153" ht="15" hidden="0" customHeight="1">
      <x:c r="A153" s="2"/>
      <x:c r="B153" s="2"/>
      <x:c r="C153" s="45" t="str">
        <x:v>S147</x:v>
      </x:c>
      <x:c r="D153" s="45" t="str">
        <x:v>Doosan Robotics IR Material register</x:v>
      </x:c>
      <x:c r="E153" s="45" t="str">
        <x:v>Doosan Robotics</x:v>
      </x:c>
      <x:c r="F153" s="49" t="str">
        <x:v>미확인</x:v>
      </x:c>
      <x:c r="G153" s="49" t="n">
        <x:v>46282</x:v>
      </x:c>
      <x:c r="H153" s="45" t="str">
        <x:v>en</x:v>
      </x:c>
      <x:c r="I153" s="45" t="str">
        <x:v>1차 자료</x:v>
      </x:c>
      <x:c r="J153" s="45" t="str">
        <x:v>2026Q2자료등재확인,다운로드오류로재무본문수치미전사</x:v>
      </x:c>
      <x:c r="K153" s="45" t="str">
        <x:v>https://www.doosanrobotics.com/en/investment/ir/irdata/</x:v>
      </x:c>
      <x:c r="L153" s="45" t="str"/>
      <x:c r="M153" s="45" t="str">
        <x:v>4장 상용화·8장 소유 관계</x:v>
      </x:c>
    </x:row>
    <x:row r="154" ht="15" hidden="0" customHeight="1">
      <x:c r="A154" s="2"/>
      <x:c r="B154" s="2"/>
      <x:c r="C154" s="45" t="str">
        <x:v>S148</x:v>
      </x:c>
      <x:c r="D154" s="45" t="str">
        <x:v>Rainbow Robotics 제15기 사업보고서 연결</x:v>
      </x:c>
      <x:c r="E154" s="45" t="str">
        <x:v>Rainbow Robotics</x:v>
      </x:c>
      <x:c r="F154" s="49" t="n">
        <x:v>46101</x:v>
      </x:c>
      <x:c r="G154" s="49" t="n">
        <x:v>46282</x:v>
      </x:c>
      <x:c r="H154" s="45" t="str">
        <x:v>ko</x:v>
      </x:c>
      <x:c r="I154" s="45" t="str">
        <x:v>1차 자료</x:v>
      </x:c>
      <x:c r="J154" s="45" t="str">
        <x:v>DART20260320000803연결확인,뷰어오류로재무수치미전사</x:v>
      </x:c>
      <x:c r="K154" s="45" t="str">
        <x:v>https://rainbow-robotics.com/company/ir/?category1=%EC%82%AC%EC%97%85%EB%B3%B4%EA%B3%A0%EC%84%9C&amp;mod=document&amp;uid=80</x:v>
      </x:c>
      <x:c r="L154" s="45" t="str"/>
      <x:c r="M154" s="45" t="str">
        <x:v>4장 상용화·8장 소유 관계</x:v>
      </x:c>
    </x:row>
    <x:row r="155" ht="15" hidden="0" customHeight="1">
      <x:c r="A155" s="2"/>
      <x:c r="B155" s="2"/>
      <x:c r="C155" s="45" t="str">
        <x:v>S149</x:v>
      </x:c>
      <x:c r="D155" s="45" t="str">
        <x:v>Rainbow Robotics listing identifier</x:v>
      </x:c>
      <x:c r="E155" s="45" t="str">
        <x:v>Google Finance</x:v>
      </x:c>
      <x:c r="F155" s="49" t="n">
        <x:v>46282</x:v>
      </x:c>
      <x:c r="G155" s="49" t="n">
        <x:v>46282</x:v>
      </x:c>
      <x:c r="H155" s="45" t="str">
        <x:v>en</x:v>
      </x:c>
      <x:c r="I155" s="45" t="str">
        <x:v>1차 자료</x:v>
      </x:c>
      <x:c r="J155" s="45" t="str">
        <x:v>종목식별/거래소코드조회;가격과시총은본문모형에미사용.공시원문과구분</x:v>
      </x:c>
      <x:c r="K155" s="45" t="str">
        <x:v>https://www.google.com/finance/quote/277810:KOSDAQ</x:v>
      </x:c>
      <x:c r="L155" s="45" t="str"/>
      <x:c r="M155" s="45" t="str">
        <x:v>4장 상용화·8장 소유 관계</x:v>
      </x:c>
    </x:row>
    <x:row r="156" ht="15" hidden="0" customHeight="1">
      <x:c r="A156" s="2"/>
      <x:c r="B156" s="2"/>
      <x:c r="C156" s="45" t="str">
        <x:v>S150</x:v>
      </x:c>
      <x:c r="D156" s="45" t="str">
        <x:v>ROBOTIS listing identifier</x:v>
      </x:c>
      <x:c r="E156" s="45" t="str">
        <x:v>Google Finance</x:v>
      </x:c>
      <x:c r="F156" s="49" t="n">
        <x:v>46282</x:v>
      </x:c>
      <x:c r="G156" s="49" t="n">
        <x:v>46282</x:v>
      </x:c>
      <x:c r="H156" s="45" t="str">
        <x:v>en</x:v>
      </x:c>
      <x:c r="I156" s="45" t="str">
        <x:v>1차 자료</x:v>
      </x:c>
      <x:c r="J156" s="45" t="str">
        <x:v>종목식별/거래소코드조회;가격과시총은본문모형에미사용.공시원문과구분</x:v>
      </x:c>
      <x:c r="K156" s="45" t="str">
        <x:v>https://www.google.com/finance/quote/108490:KOSDAQ</x:v>
      </x:c>
      <x:c r="L156" s="45" t="str"/>
      <x:c r="M156" s="45" t="str">
        <x:v>4장 상용화·8장 소유 관계</x:v>
      </x:c>
    </x:row>
    <x:row r="157" ht="15" hidden="0" customHeight="1">
      <x:c r="A157" s="2"/>
      <x:c r="B157" s="2"/>
      <x:c r="C157" s="45" t="str">
        <x:v>S151</x:v>
      </x:c>
      <x:c r="D157" s="45" t="str">
        <x:v>Doosan Robotics listing identifier</x:v>
      </x:c>
      <x:c r="E157" s="45" t="str">
        <x:v>Google Finance</x:v>
      </x:c>
      <x:c r="F157" s="49" t="n">
        <x:v>46282</x:v>
      </x:c>
      <x:c r="G157" s="49" t="n">
        <x:v>46282</x:v>
      </x:c>
      <x:c r="H157" s="45" t="str">
        <x:v>en</x:v>
      </x:c>
      <x:c r="I157" s="45" t="str">
        <x:v>1차 자료</x:v>
      </x:c>
      <x:c r="J157" s="45" t="str">
        <x:v>종목식별/거래소코드조회;가격과시총은본문모형에미사용.공시원문과구분</x:v>
      </x:c>
      <x:c r="K157" s="45" t="str">
        <x:v>https://www.google.com/finance/quote/454910:KRX</x:v>
      </x:c>
      <x:c r="L157" s="45" t="str"/>
      <x:c r="M157" s="45" t="str">
        <x:v>4장 상용화·8장 소유 관계</x:v>
      </x:c>
    </x:row>
    <x:row r="158" ht="15" hidden="0" customHeight="1">
      <x:c r="A158" s="2"/>
      <x:c r="B158" s="2"/>
      <x:c r="C158" s="45" t="str">
        <x:v>S152</x:v>
      </x:c>
      <x:c r="D158" s="45" t="str">
        <x:v>Hyundai Motor listing identifier</x:v>
      </x:c>
      <x:c r="E158" s="45" t="str">
        <x:v>Google Finance</x:v>
      </x:c>
      <x:c r="F158" s="49" t="n">
        <x:v>46282</x:v>
      </x:c>
      <x:c r="G158" s="49" t="n">
        <x:v>46282</x:v>
      </x:c>
      <x:c r="H158" s="45" t="str">
        <x:v>en</x:v>
      </x:c>
      <x:c r="I158" s="45" t="str">
        <x:v>1차 자료</x:v>
      </x:c>
      <x:c r="J158" s="45" t="str">
        <x:v>종목식별/거래소코드조회;가격과시총은본문모형에미사용.공시원문과구분</x:v>
      </x:c>
      <x:c r="K158" s="45" t="str">
        <x:v>https://www.google.com/finance/quote/005380:KRX</x:v>
      </x:c>
      <x:c r="L158" s="45" t="str"/>
      <x:c r="M158" s="45" t="str">
        <x:v>4장 상용화·8장 소유 관계</x:v>
      </x:c>
    </x:row>
    <x:row r="159" ht="15" hidden="0" customHeight="1">
      <x:c r="A159" s="2"/>
      <x:c r="B159" s="2"/>
      <x:c r="C159" s="45" t="str">
        <x:v>S153</x:v>
      </x:c>
      <x:c r="D159" s="45" t="str">
        <x:v>Samsung Electronics listing identifier</x:v>
      </x:c>
      <x:c r="E159" s="45" t="str">
        <x:v>Google Finance</x:v>
      </x:c>
      <x:c r="F159" s="49" t="n">
        <x:v>46282</x:v>
      </x:c>
      <x:c r="G159" s="49" t="n">
        <x:v>46282</x:v>
      </x:c>
      <x:c r="H159" s="45" t="str">
        <x:v>en</x:v>
      </x:c>
      <x:c r="I159" s="45" t="str">
        <x:v>1차 자료</x:v>
      </x:c>
      <x:c r="J159" s="45" t="str">
        <x:v>종목식별/거래소코드조회;가격과시총은본문모형에미사용.공시원문과구분</x:v>
      </x:c>
      <x:c r="K159" s="45" t="str">
        <x:v>https://www.google.com/finance/quote/005930:KRX</x:v>
      </x:c>
      <x:c r="L159" s="45" t="str"/>
      <x:c r="M159" s="45" t="str">
        <x:v>4장 상용화·8장 소유 관계</x:v>
      </x:c>
    </x:row>
    <x:row r="160" ht="24" hidden="0" customHeight="1">
      <x:c r="A160" s="2"/>
      <x:c r="B160" s="2"/>
      <x:c r="C160" s="45" t="str">
        <x:v>S154</x:v>
      </x:c>
      <x:c r="D160" s="45" t="str">
        <x:v>Figure | BMW 생산설비 앞의 Figure 02</x:v>
      </x:c>
      <x:c r="E160" s="45" t="str">
        <x:v>BMW Group / BMW AG</x:v>
      </x:c>
      <x:c r="F160" s="49" t="n">
        <x:v>45510</x:v>
      </x:c>
      <x:c r="G160" s="49" t="n">
        <x:v>46282</x:v>
      </x:c>
      <x:c r="H160" s="45" t="str">
        <x:v>원문</x:v>
      </x:c>
      <x:c r="I160" s="45" t="str">
        <x:v>official_media_or_product_page</x:v>
      </x:c>
      <x:c r="J160" s="45" t="str">
        <x:v>원출처·공식 자산 연결·제품/시연 문맥. 동영상의 자율성·경제성 독립 검증을 뜻하지 않음.</x:v>
      </x:c>
      <x:c r="K160" s="45" t="str">
        <x:v>https://www.press.bmwgroup.com/usa/article/detail/T0444268EN_US/successful-test-of-humanoid-robots-at-bmw-group-plant-spartanburg?language=en_US</x:v>
      </x:c>
      <x:c r="L160" s="45" t="str"/>
      <x:c r="M160" s="45" t="str">
        <x:v>원본 미디어</x:v>
      </x:c>
    </x:row>
    <x:row r="161" ht="24" hidden="0" customHeight="1">
      <x:c r="A161" s="2"/>
      <x:c r="B161" s="2"/>
      <x:c r="C161" s="45" t="str">
        <x:v>S155</x:v>
      </x:c>
      <x:c r="D161" s="45" t="str">
        <x:v>Figure | BMW 물류 현장의 Figure 03</x:v>
      </x:c>
      <x:c r="E161" s="45" t="str">
        <x:v>BMW Group / BMW AG</x:v>
      </x:c>
      <x:c r="F161" s="49" t="n">
        <x:v>46198</x:v>
      </x:c>
      <x:c r="G161" s="49" t="n">
        <x:v>46282</x:v>
      </x:c>
      <x:c r="H161" s="45" t="str">
        <x:v>원문</x:v>
      </x:c>
      <x:c r="I161" s="45" t="str">
        <x:v>official_media_or_product_page</x:v>
      </x:c>
      <x:c r="J161" s="45" t="str">
        <x:v>원출처·공식 자산 연결·제품/시연 문맥. 동영상의 자율성·경제성 독립 검증을 뜻하지 않음.</x:v>
      </x:c>
      <x:c r="K161" s="45" t="str">
        <x:v>https://www.press.bmwgroup.com/global/article/detail/T0458778EN/bmw-group-advances-the-use-of-physical-ai-in-production-with-figure-03-project-in-spartanburg?language=en</x:v>
      </x:c>
      <x:c r="L161" s="45" t="str"/>
      <x:c r="M161" s="45" t="str">
        <x:v>원본 미디어</x:v>
      </x:c>
    </x:row>
    <x:row r="162" ht="15" hidden="0" customHeight="1">
      <x:c r="A162" s="2"/>
      <x:c r="B162" s="2"/>
      <x:c r="C162" s="45" t="str">
        <x:v>S156</x:v>
      </x:c>
      <x:c r="D162" s="45" t="str">
        <x:v>XPeng | IRON 생산라인 가동 기념 공식 사진</x:v>
      </x:c>
      <x:c r="E162" s="45" t="str">
        <x:v>XPeng</x:v>
      </x:c>
      <x:c r="F162" s="49" t="n">
        <x:v>46273</x:v>
      </x:c>
      <x:c r="G162" s="49" t="n">
        <x:v>46282</x:v>
      </x:c>
      <x:c r="H162" s="45" t="str">
        <x:v>원문</x:v>
      </x:c>
      <x:c r="I162" s="45" t="str">
        <x:v>official_media_or_product_page</x:v>
      </x:c>
      <x:c r="J162" s="45" t="str">
        <x:v>원출처·공식 자산 연결·제품/시연 문맥. 동영상의 자율성·경제성 독립 검증을 뜻하지 않음.</x:v>
      </x:c>
      <x:c r="K162" s="45" t="str">
        <x:v>https://www.xpeng.com/news</x:v>
      </x:c>
      <x:c r="L162" s="45" t="str"/>
      <x:c r="M162" s="45" t="str">
        <x:v>원본 미디어</x:v>
      </x:c>
    </x:row>
    <x:row r="163" ht="15" hidden="0" customHeight="1">
      <x:c r="A163" s="2"/>
      <x:c r="B163" s="2"/>
      <x:c r="C163" s="45" t="str">
        <x:v>S157</x:v>
      </x:c>
      <x:c r="D163" s="45" t="str">
        <x:v>Apptronik | Apollo 공식 홈페이지 영상 스틸</x:v>
      </x:c>
      <x:c r="E163" s="45" t="str">
        <x:v>Apptronik</x:v>
      </x:c>
      <x:c r="F163" s="49" t="str">
        <x:v>미확인</x:v>
      </x:c>
      <x:c r="G163" s="49" t="n">
        <x:v>46282</x:v>
      </x:c>
      <x:c r="H163" s="45" t="str">
        <x:v>원문</x:v>
      </x:c>
      <x:c r="I163" s="45" t="str">
        <x:v>official_media_or_product_page</x:v>
      </x:c>
      <x:c r="J163" s="45" t="str">
        <x:v>원출처·공식 자산 연결·제품/시연 문맥. 동영상의 자율성·경제성 독립 검증을 뜻하지 않음.</x:v>
      </x:c>
      <x:c r="K163" s="45" t="str">
        <x:v>https://apptronik.com/</x:v>
      </x:c>
      <x:c r="L163" s="45" t="str"/>
      <x:c r="M163" s="45" t="str">
        <x:v>원본 미디어</x:v>
      </x:c>
    </x:row>
    <x:row r="164" ht="15" hidden="0" customHeight="1">
      <x:c r="A164" s="2"/>
      <x:c r="B164" s="2"/>
      <x:c r="C164" s="45" t="str">
        <x:v>S158</x:v>
      </x:c>
      <x:c r="D164" s="45" t="str">
        <x:v>Agility Robotics | Digit 다섯 손가락 개발 영상 스틸</x:v>
      </x:c>
      <x:c r="E164" s="45" t="str">
        <x:v>Agility Robotics</x:v>
      </x:c>
      <x:c r="F164" s="49" t="str">
        <x:v>미확인</x:v>
      </x:c>
      <x:c r="G164" s="49" t="n">
        <x:v>46282</x:v>
      </x:c>
      <x:c r="H164" s="45" t="str">
        <x:v>원문</x:v>
      </x:c>
      <x:c r="I164" s="45" t="str">
        <x:v>official_media_or_product_page</x:v>
      </x:c>
      <x:c r="J164" s="45" t="str">
        <x:v>원출처·공식 자산 연결·제품/시연 문맥. 동영상의 자율성·경제성 독립 검증을 뜻하지 않음.</x:v>
      </x:c>
      <x:c r="K164" s="45" t="str">
        <x:v>https://www.agilityrobotics.com/videos/digits-first-day-of-work-at-gxo</x:v>
      </x:c>
      <x:c r="L164" s="45" t="str"/>
      <x:c r="M164" s="45" t="str">
        <x:v>원본 미디어</x:v>
      </x:c>
    </x:row>
    <x:row r="165" ht="15" hidden="0" customHeight="1">
      <x:c r="A165" s="2"/>
      <x:c r="B165" s="2"/>
      <x:c r="C165" s="45" t="str">
        <x:v>S159</x:v>
      </x:c>
      <x:c r="D165" s="45" t="str">
        <x:v>Fourier | GR-3 Fine Control 공식 영상 스틸</x:v>
      </x:c>
      <x:c r="E165" s="45" t="str">
        <x:v>Fourier</x:v>
      </x:c>
      <x:c r="F165" s="49" t="str">
        <x:v>미확인</x:v>
      </x:c>
      <x:c r="G165" s="49" t="n">
        <x:v>46282</x:v>
      </x:c>
      <x:c r="H165" s="45" t="str">
        <x:v>원문</x:v>
      </x:c>
      <x:c r="I165" s="45" t="str">
        <x:v>official_media_or_product_page</x:v>
      </x:c>
      <x:c r="J165" s="45" t="str">
        <x:v>원출처·공식 자산 연결·제품/시연 문맥. 동영상의 자율성·경제성 독립 검증을 뜻하지 않음.</x:v>
      </x:c>
      <x:c r="K165" s="45" t="str">
        <x:v>https://www.fftai.com/en/grx/gr3</x:v>
      </x:c>
      <x:c r="L165" s="45" t="str"/>
      <x:c r="M165" s="45" t="str">
        <x:v>원본 미디어</x:v>
      </x:c>
    </x:row>
    <x:row r="166" ht="36" hidden="0" customHeight="1">
      <x:c r="A166" s="2"/>
      <x:c r="B166" s="2"/>
      <x:c r="C166" s="45" t="str">
        <x:v>S160</x:v>
      </x:c>
      <x:c r="D166" s="45" t="str">
        <x:v>Tesla | Optimus – Gen 2 | Tesla</x:v>
      </x:c>
      <x:c r="E166" s="45" t="str">
        <x:v>Tesla</x:v>
      </x:c>
      <x:c r="F166" s="49" t="str">
        <x:v>미확인</x:v>
      </x:c>
      <x:c r="G166" s="49" t="n">
        <x:v>46282</x:v>
      </x:c>
      <x:c r="H166" s="45" t="str">
        <x:v>원문</x:v>
      </x:c>
      <x:c r="I166" s="45" t="str">
        <x:v>official_media_or_product_page</x:v>
      </x:c>
      <x:c r="J166" s="45" t="str">
        <x:v>원출처·공식 자산 연결·제품/시연 문맥. 동영상의 자율성·경제성 독립 검증을 뜻하지 않음.</x:v>
      </x:c>
      <x:c r="K166" s="45" t="str">
        <x:v>https://www.tesla.com/AI</x:v>
      </x:c>
      <x:c r="L166" s="45" t="str"/>
      <x:c r="M166" s="45" t="str">
        <x:v>원본 미디어
7장 공급망
4장 상용화</x:v>
      </x:c>
    </x:row>
    <x:row r="167" ht="24" hidden="0" customHeight="1">
      <x:c r="A167" s="2"/>
      <x:c r="B167" s="2"/>
      <x:c r="C167" s="45" t="str">
        <x:v>S161</x:v>
      </x:c>
      <x:c r="D167" s="45" t="str">
        <x:v>Figure | Helix 02: 4분 전신 조작 시연</x:v>
      </x:c>
      <x:c r="E167" s="45" t="str">
        <x:v>Figure</x:v>
      </x:c>
      <x:c r="F167" s="49" t="n">
        <x:v>46049</x:v>
      </x:c>
      <x:c r="G167" s="49" t="n">
        <x:v>46282</x:v>
      </x:c>
      <x:c r="H167" s="45" t="str">
        <x:v>원문</x:v>
      </x:c>
      <x:c r="I167" s="45" t="str">
        <x:v>official_media_or_product_page</x:v>
      </x:c>
      <x:c r="J167" s="45" t="str">
        <x:v>원출처·공식 자산 연결·제품/시연 문맥. 동영상의 자율성·경제성 독립 검증을 뜻하지 않음.</x:v>
      </x:c>
      <x:c r="K167" s="45" t="str">
        <x:v>https://www.figure.ai/news/helix-02</x:v>
      </x:c>
      <x:c r="L167" s="45" t="str"/>
      <x:c r="M167" s="45" t="str">
        <x:v>원본 미디어
1~3장 기술</x:v>
      </x:c>
    </x:row>
    <x:row r="168" ht="15" hidden="0" customHeight="1">
      <x:c r="A168" s="2"/>
      <x:c r="B168" s="2"/>
      <x:c r="C168" s="45" t="str">
        <x:v>S162</x:v>
      </x:c>
      <x:c r="D168" s="45" t="str">
        <x:v>Boston Dynamics | Atlas Goes Hands On</x:v>
      </x:c>
      <x:c r="E168" s="45" t="str">
        <x:v>Boston Dynamics</x:v>
      </x:c>
      <x:c r="F168" s="49" t="str">
        <x:v>미확인</x:v>
      </x:c>
      <x:c r="G168" s="49" t="n">
        <x:v>46282</x:v>
      </x:c>
      <x:c r="H168" s="45" t="str">
        <x:v>원문</x:v>
      </x:c>
      <x:c r="I168" s="45" t="str">
        <x:v>official_media_or_product_page</x:v>
      </x:c>
      <x:c r="J168" s="45" t="str">
        <x:v>원출처·공식 자산 연결·제품/시연 문맥. 동영상의 자율성·경제성 독립 검증을 뜻하지 않음.</x:v>
      </x:c>
      <x:c r="K168" s="45" t="str">
        <x:v>https://bostondynamics.com/video/atlas-goes-hands-on/</x:v>
      </x:c>
      <x:c r="L168" s="45" t="str"/>
      <x:c r="M168" s="45" t="str">
        <x:v>원본 미디어</x:v>
      </x:c>
    </x:row>
    <x:row r="169" ht="15" hidden="0" customHeight="1">
      <x:c r="A169" s="2"/>
      <x:c r="B169" s="2"/>
      <x:c r="C169" s="45" t="str">
        <x:v>S163</x:v>
      </x:c>
      <x:c r="D169" s="45" t="str">
        <x:v>Boston Dynamics | All New Atlas: 전기식 세대 공개</x:v>
      </x:c>
      <x:c r="E169" s="45" t="str">
        <x:v>Boston Dynamics</x:v>
      </x:c>
      <x:c r="F169" s="49" t="n">
        <x:v>45399</x:v>
      </x:c>
      <x:c r="G169" s="49" t="n">
        <x:v>46282</x:v>
      </x:c>
      <x:c r="H169" s="45" t="str">
        <x:v>원문</x:v>
      </x:c>
      <x:c r="I169" s="45" t="str">
        <x:v>official_media_or_product_page</x:v>
      </x:c>
      <x:c r="J169" s="45" t="str">
        <x:v>원출처·공식 자산 연결·제품/시연 문맥. 동영상의 자율성·경제성 독립 검증을 뜻하지 않음.</x:v>
      </x:c>
      <x:c r="K169" s="45" t="str">
        <x:v>https://bostondynamics.com/blog/electric-new-era-for-atlas/</x:v>
      </x:c>
      <x:c r="L169" s="45" t="str"/>
      <x:c r="M169" s="45" t="str">
        <x:v>원본 미디어</x:v>
      </x:c>
    </x:row>
    <x:row r="170" ht="15" hidden="0" customHeight="1">
      <x:c r="A170" s="2"/>
      <x:c r="B170" s="2"/>
      <x:c r="C170" s="45" t="str">
        <x:v>S164</x:v>
      </x:c>
      <x:c r="D170" s="45" t="str">
        <x:v>LimX Dynamics | Oli Introduction Video</x:v>
      </x:c>
      <x:c r="E170" s="45" t="str">
        <x:v>LimX Dynamics</x:v>
      </x:c>
      <x:c r="F170" s="49" t="n">
        <x:v>45868</x:v>
      </x:c>
      <x:c r="G170" s="49" t="n">
        <x:v>46282</x:v>
      </x:c>
      <x:c r="H170" s="45" t="str">
        <x:v>원문</x:v>
      </x:c>
      <x:c r="I170" s="45" t="str">
        <x:v>official_media_or_product_page</x:v>
      </x:c>
      <x:c r="J170" s="45" t="str">
        <x:v>원출처·공식 자산 연결·제품/시연 문맥. 동영상의 자율성·경제성 독립 검증을 뜻하지 않음.</x:v>
      </x:c>
      <x:c r="K170" s="45" t="str">
        <x:v>https://www.limxdynamics.com/en/products/oli/video</x:v>
      </x:c>
      <x:c r="L170" s="45" t="str"/>
      <x:c r="M170" s="45" t="str">
        <x:v>원본 미디어</x:v>
      </x:c>
    </x:row>
    <x:row r="171" ht="24" hidden="0" customHeight="1">
      <x:c r="A171" s="2"/>
      <x:c r="B171" s="2"/>
      <x:c r="C171" s="45" t="str">
        <x:v>S165</x:v>
      </x:c>
      <x:c r="D171" s="45" t="str">
        <x:v>Google DeepMind / Apptronik | Gemini Robotics 2: Whole-body intelligence</x:v>
      </x:c>
      <x:c r="E171" s="45" t="str">
        <x:v>Google DeepMind</x:v>
      </x:c>
      <x:c r="F171" s="49" t="n">
        <x:v>46233</x:v>
      </x:c>
      <x:c r="G171" s="49" t="n">
        <x:v>46282</x:v>
      </x:c>
      <x:c r="H171" s="45" t="str">
        <x:v>원문</x:v>
      </x:c>
      <x:c r="I171" s="45" t="str">
        <x:v>official_media_or_product_page</x:v>
      </x:c>
      <x:c r="J171" s="45" t="str">
        <x:v>원출처·공식 자산 연결·제품/시연 문맥. 동영상의 자율성·경제성 독립 검증을 뜻하지 않음.</x:v>
      </x:c>
      <x:c r="K171" s="45" t="str">
        <x:v>https://deepmind.google/blog/gemini-robotics-2-brings-whole-body-intelligence-to-robots/</x:v>
      </x:c>
      <x:c r="L171" s="45" t="str"/>
      <x:c r="M171" s="45" t="str">
        <x:v>원본 미디어
1~3장 기술</x:v>
      </x:c>
    </x:row>
    <x:row r="172" ht="15" hidden="0" customHeight="1">
      <x:c r="A172" s="2"/>
      <x:c r="B172" s="2"/>
      <x:c r="C172" s="45" t="str">
        <x:v>S166</x:v>
      </x:c>
      <x:c r="D172" s="45" t="str">
        <x:v>Employer Costs for Employee Compensation — Table 4</x:v>
      </x:c>
      <x:c r="E172" s="45" t="str">
        <x:v>BLS</x:v>
      </x:c>
      <x:c r="F172" s="49" t="str">
        <x:v>2026-09</x:v>
      </x:c>
      <x:c r="G172" s="49" t="n">
        <x:v>46282</x:v>
      </x:c>
      <x:c r="H172" s="45" t="str">
        <x:v>en</x:v>
      </x:c>
      <x:c r="I172" s="45" t="str">
        <x:v>1차 자료</x:v>
      </x:c>
      <x:c r="J172" s="45" t="str">
        <x:v>2026년 6월 업종·직종별 총고용비용; 39.25/38.33/23.73 USD/hour</x:v>
      </x:c>
      <x:c r="K172" s="45" t="str">
        <x:v>https://www.bls.gov/news.release/ecec.t04.htm</x:v>
      </x:c>
      <x:c r="L172" s="45" t="str"/>
      <x:c r="M172" s="45" t="str">
        <x:v>산업 개요·경제성·시장</x:v>
      </x:c>
    </x:row>
    <x:row r="173" ht="15" hidden="0" customHeight="1">
      <x:c r="A173" s="2"/>
      <x:c r="B173" s="2"/>
      <x:c r="C173" s="45" t="str">
        <x:v>S167</x:v>
      </x:c>
      <x:c r="D173" s="45" t="str">
        <x:v>Assemblers and Fabricators: Occupational Outlook Handbook</x:v>
      </x:c>
      <x:c r="E173" s="45" t="str">
        <x:v>BLS</x:v>
      </x:c>
      <x:c r="F173" s="49" t="n">
        <x:v>46261</x:v>
      </x:c>
      <x:c r="G173" s="49" t="n">
        <x:v>46282</x:v>
      </x:c>
      <x:c r="H173" s="45" t="str">
        <x:v>en</x:v>
      </x:c>
      <x:c r="I173" s="45" t="str">
        <x:v>1차 자료</x:v>
      </x:c>
      <x:c r="J173" s="45" t="str">
        <x:v>2025년 일자리 1,799,500; 고용 수와 FTE를 구분</x:v>
      </x:c>
      <x:c r="K173" s="45" t="str">
        <x:v>https://www.bls.gov/ooh/production/assemblers-and-fabricators.htm</x:v>
      </x:c>
      <x:c r="L173" s="45" t="str"/>
      <x:c r="M173" s="45" t="str">
        <x:v>산업 개요·경제성·시장</x:v>
      </x:c>
    </x:row>
    <x:row r="174" ht="15" hidden="0" customHeight="1">
      <x:c r="A174" s="2"/>
      <x:c r="B174" s="2"/>
      <x:c r="C174" s="45" t="str">
        <x:v>S168</x:v>
      </x:c>
      <x:c r="D174" s="45" t="str">
        <x:v>Hand Laborers and Material Movers: Occupational Outlook Handbook</x:v>
      </x:c>
      <x:c r="E174" s="45" t="str">
        <x:v>BLS</x:v>
      </x:c>
      <x:c r="F174" s="49" t="n">
        <x:v>46261</x:v>
      </x:c>
      <x:c r="G174" s="49" t="n">
        <x:v>46282</x:v>
      </x:c>
      <x:c r="H174" s="45" t="str">
        <x:v>en</x:v>
      </x:c>
      <x:c r="I174" s="45" t="str">
        <x:v>1차 자료</x:v>
      </x:c>
      <x:c r="J174" s="45" t="str">
        <x:v>2025년 세부 직업 2,940,300; 상위 분류와 중복 합산하지 않음</x:v>
      </x:c>
      <x:c r="K174" s="45" t="str">
        <x:v>https://www.bls.gov/ooh/transportation-and-material-moving/hand-laborers-and-material-movers.htm</x:v>
      </x:c>
      <x:c r="L174" s="45" t="str"/>
      <x:c r="M174" s="45" t="str">
        <x:v>산업 개요·경제성·시장</x:v>
      </x:c>
    </x:row>
    <x:row r="175" ht="15" hidden="0" customHeight="1">
      <x:c r="A175" s="2"/>
      <x:c r="B175" s="2"/>
      <x:c r="C175" s="45" t="str">
        <x:v>S169</x:v>
      </x:c>
      <x:c r="D175" s="45" t="str">
        <x:v>Janitors and Building Cleaners: Occupational Outlook Handbook</x:v>
      </x:c>
      <x:c r="E175" s="45" t="str">
        <x:v>BLS</x:v>
      </x:c>
      <x:c r="F175" s="49" t="n">
        <x:v>46261</x:v>
      </x:c>
      <x:c r="G175" s="49" t="n">
        <x:v>46282</x:v>
      </x:c>
      <x:c r="H175" s="45" t="str">
        <x:v>en</x:v>
      </x:c>
      <x:c r="I175" s="45" t="str">
        <x:v>1차 자료</x:v>
      </x:c>
      <x:c r="J175" s="45" t="str">
        <x:v>2025년 일자리 2,432,600; 가사 청소 제외, 학교·병원 등 포함</x:v>
      </x:c>
      <x:c r="K175" s="45" t="str">
        <x:v>https://www.bls.gov/ooh/building-and-grounds-cleaning/janitors-and-building-cleaners.htm</x:v>
      </x:c>
      <x:c r="L175" s="45" t="str"/>
      <x:c r="M175" s="45" t="str">
        <x:v>산업 개요·경제성·시장</x:v>
      </x:c>
    </x:row>
    <x:row r="176" ht="15" hidden="0" customHeight="1">
      <x:c r="A176" s="2"/>
      <x:c r="B176" s="2"/>
      <x:c r="C176" s="45" t="str">
        <x:v>S170</x:v>
      </x:c>
      <x:c r="D176" s="45" t="str">
        <x:v>The global market for robots could reach $38 billion by 2035</x:v>
      </x:c>
      <x:c r="E176" s="45" t="str">
        <x:v>Goldman Sachs</x:v>
      </x:c>
      <x:c r="F176" s="49" t="n">
        <x:v>45349</x:v>
      </x:c>
      <x:c r="G176" s="49" t="n">
        <x:v>46282</x:v>
      </x:c>
      <x:c r="H176" s="45" t="str">
        <x:v>en</x:v>
      </x:c>
      <x:c r="I176" s="45" t="str">
        <x:v>1차 자료</x:v>
      </x:c>
      <x:c r="J176" s="45" t="str">
        <x:v>공식 공개 전망 설명. 2026년 최신 전망으로 취급하지 않음</x:v>
      </x:c>
      <x:c r="K176" s="45" t="str">
        <x:v>https://www.goldmansachs.com/insights/articles/the-global-market-for-robots-could-reach-38-billion-by-2035</x:v>
      </x:c>
      <x:c r="L176" s="45" t="str"/>
      <x:c r="M176" s="45" t="str">
        <x:v>산업 개요·경제성·시장</x:v>
      </x:c>
    </x:row>
    <x:row r="177" ht="15" hidden="0" customHeight="1">
      <x:c r="A177" s="2"/>
      <x:c r="B177" s="2"/>
      <x:c r="C177" s="45" t="str">
        <x:v>S171</x:v>
      </x:c>
      <x:c r="D177" s="45" t="str">
        <x:v>Humanoid robots: A $5 trillion market by 2050</x:v>
      </x:c>
      <x:c r="E177" s="45" t="str">
        <x:v>Morgan Stanley</x:v>
      </x:c>
      <x:c r="F177" s="49" t="n">
        <x:v>45791</x:v>
      </x:c>
      <x:c r="G177" s="49" t="n">
        <x:v>46282</x:v>
      </x:c>
      <x:c r="H177" s="45" t="str">
        <x:v>en</x:v>
      </x:c>
      <x:c r="I177" s="45" t="str">
        <x:v>1차 자료</x:v>
      </x:c>
      <x:c r="J177" s="45" t="str">
        <x:v>장기 시장 범위와 사용 기반. 공급망·서비스 포함 범위 주의</x:v>
      </x:c>
      <x:c r="K177" s="45" t="str">
        <x:v>https://www.morganstanley.com/insights/articles/humanoid-robot-market-5-trillion-by-2050</x:v>
      </x:c>
      <x:c r="L177" s="45" t="str"/>
      <x:c r="M177" s="45" t="str">
        <x:v>산업 개요·경제성·시장</x:v>
      </x:c>
    </x:row>
    <x:row r="178" ht="15" hidden="0" customHeight="1">
      <x:c r="A178" s="2"/>
      <x:c r="B178" s="2"/>
      <x:c r="C178" s="45" t="str">
        <x:v>S172</x:v>
      </x:c>
      <x:c r="D178" s="45" t="str">
        <x:v>UBS humanoid robot forecast coverage</x:v>
      </x:c>
      <x:c r="E178" s="45" t="str">
        <x:v>MarketWatch</x:v>
      </x:c>
      <x:c r="F178" s="49" t="str">
        <x:v>2025-06</x:v>
      </x:c>
      <x:c r="G178" s="49" t="n">
        <x:v>46282</x:v>
      </x:c>
      <x:c r="H178" s="45" t="str">
        <x:v>en</x:v>
      </x:c>
      <x:c r="I178" s="45" t="str">
        <x:v>1차 자료</x:v>
      </x:c>
      <x:c r="J178" s="45" t="str">
        <x:v>2차 자료. UBS 원보고서 전체 미확보; 자체 모형의 근거 입력에 사용하지 않음</x:v>
      </x:c>
      <x:c r="K178" s="45" t="str">
        <x:v>https://www.marketwatch.com/story/300-million-humanoid-robots-are-coming-and-here-are-the-companies-that-will-benefit-04c36ae8</x:v>
      </x:c>
      <x:c r="L178" s="45" t="str"/>
      <x:c r="M178" s="45" t="str">
        <x:v>산업 개요·경제성·시장</x:v>
      </x:c>
    </x:row>
    <x:row r="179" ht="15" hidden="0" customHeight="1">
      <x:c r="A179" s="2"/>
      <x:c r="B179" s="2"/>
      <x:c r="C179" s="45" t="str">
        <x:v>S173</x:v>
      </x:c>
      <x:c r="D179" s="45" t="str">
        <x:v>휴머노이드 로봇 산업 분석</x:v>
      </x:c>
      <x:c r="E179" s="45" t="str">
        <x:v>Deloitte Korea</x:v>
      </x:c>
      <x:c r="F179" s="49" t="n">
        <x:v>45786</x:v>
      </x:c>
      <x:c r="G179" s="49" t="n">
        <x:v>46282</x:v>
      </x:c>
      <x:c r="H179" s="45" t="str">
        <x:v>ko</x:v>
      </x:c>
      <x:c r="I179" s="45" t="str">
        <x:v>1차 자료</x:v>
      </x:c>
      <x:c r="J179" s="45" t="str">
        <x:v>기관 전망의 국내 재인용을 독립 예측으로 중복 집계하지 않음</x:v>
      </x:c>
      <x:c r="K179" s="45" t="str">
        <x:v>https://www.deloitte.com/kr/ko/Industries/technology/perspectives/humanoid-robotics-industries.html</x:v>
      </x:c>
      <x:c r="L179" s="45" t="str"/>
      <x:c r="M179" s="45" t="str">
        <x:v>산업 개요·경제성·시장</x:v>
      </x:c>
    </x:row>
    <x:row r="180" ht="15" hidden="0" customHeight="1">
      <x:c r="A180" s="2"/>
      <x:c r="B180" s="2"/>
      <x:c r="C180" s="45" t="str">
        <x:v>S174</x:v>
      </x:c>
      <x:c r="D180" s="45" t="str">
        <x:v>Humanoid Robot Baseline Performance Benchmark</x:v>
      </x:c>
      <x:c r="E180" s="45" t="str">
        <x:v>NIST</x:v>
      </x:c>
      <x:c r="F180" s="49" t="n">
        <x:v>46132</x:v>
      </x:c>
      <x:c r="G180" s="49" t="n">
        <x:v>46282</x:v>
      </x:c>
      <x:c r="H180" s="45" t="str">
        <x:v>en</x:v>
      </x:c>
      <x:c r="I180" s="45" t="str">
        <x:v>1차 자료</x:v>
      </x:c>
      <x:c r="J180" s="45" t="str">
        <x:v>평가체계 개발 프로젝트; 통일 순위가 존재한다는 증거 아님</x:v>
      </x:c>
      <x:c r="K180" s="45" t="str">
        <x:v>https://www.nist.gov/el/intelligent-systems-division-73500/humanoid-robot-baseline-performance-benchmark</x:v>
      </x:c>
      <x:c r="L180" s="45" t="str"/>
      <x:c r="M180" s="45" t="str">
        <x:v>산업 개요·경제성·시장</x:v>
      </x:c>
    </x:row>
    <x:row r="181" ht="15" hidden="0" customHeight="1">
      <x:c r="A181" s="2"/>
      <x:c r="B181" s="2"/>
      <x:c r="C181" s="45" t="str">
        <x:v>S175</x:v>
      </x:c>
      <x:c r="D181" s="45" t="str">
        <x:v>Machinery safety requirements</x:v>
      </x:c>
      <x:c r="E181" s="45" t="str">
        <x:v>EUR-Lex</x:v>
      </x:c>
      <x:c r="F181" s="49" t="str">
        <x:v>미확인</x:v>
      </x:c>
      <x:c r="G181" s="49" t="n">
        <x:v>46282</x:v>
      </x:c>
      <x:c r="H181" s="45" t="str">
        <x:v>en</x:v>
      </x:c>
      <x:c r="I181" s="45" t="str">
        <x:v>1차 자료</x:v>
      </x:c>
      <x:c r="J181" s="45" t="str">
        <x:v>수정된 적용일 2027-01-20; 특정 기체 법률 적합성 판단 아님</x:v>
      </x:c>
      <x:c r="K181" s="45" t="str">
        <x:v>https://eur-lex.europa.eu/EN/legal-content/summary/machinery-safety-requirements.html</x:v>
      </x:c>
      <x:c r="L181" s="45" t="str"/>
      <x:c r="M181" s="45" t="str">
        <x:v>산업 개요·경제성·시장</x:v>
      </x:c>
    </x:row>
    <x:row r="182" ht="15" hidden="0" customHeight="1">
      <x:c r="A182" s="2"/>
      <x:c r="B182" s="2"/>
      <x:c r="C182" s="45" t="str">
        <x:v>S176</x:v>
      </x:c>
      <x:c r="D182" s="45" t="str">
        <x:v>Regulation (EU) 2023/1230 — consolidated text</x:v>
      </x:c>
      <x:c r="E182" s="45" t="str">
        <x:v>European Union</x:v>
      </x:c>
      <x:c r="F182" s="49" t="n">
        <x:v>46171</x:v>
      </x:c>
      <x:c r="G182" s="49" t="n">
        <x:v>46282</x:v>
      </x:c>
      <x:c r="H182" s="45" t="str">
        <x:v>en</x:v>
      </x:c>
      <x:c r="I182" s="45" t="str">
        <x:v>1차 자료</x:v>
      </x:c>
      <x:c r="J182" s="45" t="str">
        <x:v>원공포문과 수정 적용일 차이에 주의</x:v>
      </x:c>
      <x:c r="K182" s="45" t="str">
        <x:v>https://eur-lex.europa.eu/eli/reg/2023/1230/2026-05-29/eng</x:v>
      </x:c>
      <x:c r="L182" s="45" t="str"/>
      <x:c r="M182" s="45" t="str">
        <x:v>산업 개요·경제성·시장</x:v>
      </x:c>
    </x:row>
    <x:row r="183" ht="15" hidden="0" customHeight="1">
      <x:c r="A183" s="2"/>
      <x:c r="B183" s="2"/>
      <x:c r="C183" s="45" t="str">
        <x:v>S177</x:v>
      </x:c>
      <x:c r="D183" s="45" t="str">
        <x:v>Public Notice DA 26-786</x:v>
      </x:c>
      <x:c r="E183" s="45" t="str">
        <x:v>FCC</x:v>
      </x:c>
      <x:c r="F183" s="49" t="n">
        <x:v>46231</x:v>
      </x:c>
      <x:c r="G183" s="49" t="n">
        <x:v>46282</x:v>
      </x:c>
      <x:c r="H183" s="45" t="str">
        <x:v>en</x:v>
      </x:c>
      <x:c r="I183" s="45" t="str">
        <x:v>1차 자료</x:v>
      </x:c>
      <x:c r="J183" s="45" t="str">
        <x:v>외국 생산 첨단 로봇 장치 관련 Covered List 및 신규 장비 승인. 기존 모든 제품의 즉시 전면 사용 금지로 확대 해석하지 않음</x:v>
      </x:c>
      <x:c r="K183" s="45" t="str">
        <x:v>https://docs.fcc.gov/public/attachments/DA-26-786A1.pdf</x:v>
      </x:c>
      <x:c r="L183" s="45" t="str"/>
      <x:c r="M183" s="45" t="str">
        <x:v>산업 개요·경제성·시장</x:v>
      </x:c>
    </x:row>
    <x:row r="184" ht="15" hidden="0" customHeight="1">
      <x:c r="A184" s="2"/>
      <x:c r="B184" s="2"/>
      <x:c r="C184" s="45" t="str">
        <x:v>S178</x:v>
      </x:c>
      <x:c r="D184" s="45" t="str">
        <x:v>Tesla 공식 제품·공시·협력 자료</x:v>
      </x:c>
      <x:c r="E184" s="45" t="str">
        <x:v>Tesla 또는 공개 계약 상대방</x:v>
      </x:c>
      <x:c r="F184" s="49" t="str">
        <x:v>미확인</x:v>
      </x:c>
      <x:c r="G184" s="49" t="n">
        <x:v>46282</x:v>
      </x:c>
      <x:c r="H184" s="45" t="str">
        <x:v>원문</x:v>
      </x:c>
      <x:c r="I184" s="45" t="str">
        <x:v>기업 1차자료</x:v>
      </x:c>
      <x:c r="J184" s="45" t="str">
        <x:v>Optimus 완성체·자체 AI·제조내재화 비교</x:v>
      </x:c>
      <x:c r="K184" s="45" t="str">
        <x:v>https://ir.tesla.com/_flysystem/s3/sec/000162828026046717/tsla-20260702-gen.pdf</x:v>
      </x:c>
      <x:c r="L184" s="45" t="str">
        <x:v>양산 목표와 고객 유상납품을 분리</x:v>
      </x:c>
      <x:c r="M184" s="45" t="str">
        <x:v>7장 공급망</x:v>
      </x:c>
    </x:row>
    <x:row r="185" ht="15" hidden="0" customHeight="1">
      <x:c r="A185" s="2"/>
      <x:c r="B185" s="2"/>
      <x:c r="C185" s="45" t="str">
        <x:v>S179</x:v>
      </x:c>
      <x:c r="D185" s="45" t="str">
        <x:v>Tesla 공식 제품·공시·협력 자료</x:v>
      </x:c>
      <x:c r="E185" s="45" t="str">
        <x:v>Tesla 또는 공개 계약 상대방</x:v>
      </x:c>
      <x:c r="F185" s="49" t="str">
        <x:v>미확인</x:v>
      </x:c>
      <x:c r="G185" s="49" t="n">
        <x:v>46282</x:v>
      </x:c>
      <x:c r="H185" s="45" t="str">
        <x:v>원문</x:v>
      </x:c>
      <x:c r="I185" s="45" t="str">
        <x:v>기업 1차자료</x:v>
      </x:c>
      <x:c r="J185" s="45" t="str">
        <x:v>Optimus 완성체·자체 AI·제조내재화 비교</x:v>
      </x:c>
      <x:c r="K185" s="45" t="str">
        <x:v>https://ir.tesla.com/</x:v>
      </x:c>
      <x:c r="L185" s="45" t="str">
        <x:v>양산 목표와 고객 유상납품을 분리</x:v>
      </x:c>
      <x:c r="M185" s="45" t="str">
        <x:v>7장 공급망</x:v>
      </x:c>
    </x:row>
    <x:row r="186" ht="15" hidden="0" customHeight="1">
      <x:c r="A186" s="2"/>
      <x:c r="B186" s="2"/>
      <x:c r="C186" s="45" t="str">
        <x:v>S180</x:v>
      </x:c>
      <x:c r="D186" s="45" t="str">
        <x:v>Figure 공식 제품·공시·협력 자료</x:v>
      </x:c>
      <x:c r="E186" s="45" t="str">
        <x:v>Figure 또는 공개 계약 상대방</x:v>
      </x:c>
      <x:c r="F186" s="49" t="str">
        <x:v>미확인</x:v>
      </x:c>
      <x:c r="G186" s="49" t="n">
        <x:v>46282</x:v>
      </x:c>
      <x:c r="H186" s="45" t="str">
        <x:v>원문</x:v>
      </x:c>
      <x:c r="I186" s="45" t="str">
        <x:v>기업 1차자료</x:v>
      </x:c>
      <x:c r="J186" s="45" t="str">
        <x:v>Figure 기체·Helix 및 BMW 제조 현장 사례</x:v>
      </x:c>
      <x:c r="K186" s="45" t="str">
        <x:v>https://www.figure.ai/news/series-c</x:v>
      </x:c>
      <x:c r="L186" s="45" t="str">
        <x:v>BMW와 공동 관계 확인; 경제성 비공개</x:v>
      </x:c>
      <x:c r="M186" s="45" t="str">
        <x:v>7장 공급망</x:v>
      </x:c>
    </x:row>
    <x:row r="187" ht="15" hidden="0" customHeight="1">
      <x:c r="A187" s="2"/>
      <x:c r="B187" s="2"/>
      <x:c r="C187" s="45" t="str">
        <x:v>S181</x:v>
      </x:c>
      <x:c r="D187" s="45" t="str">
        <x:v>Apptronik 공식 제품·공시·협력 자료</x:v>
      </x:c>
      <x:c r="E187" s="45" t="str">
        <x:v>Apptronik 또는 공개 계약 상대방</x:v>
      </x:c>
      <x:c r="F187" s="49" t="str">
        <x:v>미확인</x:v>
      </x:c>
      <x:c r="G187" s="49" t="n">
        <x:v>46282</x:v>
      </x:c>
      <x:c r="H187" s="45" t="str">
        <x:v>원문</x:v>
      </x:c>
      <x:c r="I187" s="45" t="str">
        <x:v>기업 1차자료</x:v>
      </x:c>
      <x:c r="J187" s="45" t="str">
        <x:v>Apollo·Jabil 제조협력</x:v>
      </x:c>
      <x:c r="K187" s="45" t="str">
        <x:v>https://apptronik.com/news-collection/apptronik-closes-over-935-million-series-a</x:v>
      </x:c>
      <x:c r="L187" s="45" t="str">
        <x:v>제조 계약이 확정 최소물량을 의미하지 않음</x:v>
      </x:c>
      <x:c r="M187" s="45" t="str">
        <x:v>7장 공급망</x:v>
      </x:c>
    </x:row>
    <x:row r="188" ht="15" hidden="0" customHeight="1">
      <x:c r="A188" s="2"/>
      <x:c r="B188" s="2"/>
      <x:c r="C188" s="45" t="str">
        <x:v>S182</x:v>
      </x:c>
      <x:c r="D188" s="45" t="str">
        <x:v>1X 공식 제품·공시·협력 자료</x:v>
      </x:c>
      <x:c r="E188" s="45" t="str">
        <x:v>1X 또는 공개 계약 상대방</x:v>
      </x:c>
      <x:c r="F188" s="49" t="str">
        <x:v>미확인</x:v>
      </x:c>
      <x:c r="G188" s="49" t="n">
        <x:v>46282</x:v>
      </x:c>
      <x:c r="H188" s="45" t="str">
        <x:v>원문</x:v>
      </x:c>
      <x:c r="I188" s="45" t="str">
        <x:v>기업 1차자료</x:v>
      </x:c>
      <x:c r="J188" s="45" t="str">
        <x:v>NEO 가정용·원격지원 모델</x:v>
      </x:c>
      <x:c r="K188" s="45" t="str">
        <x:v>https://www.1x.tech/</x:v>
      </x:c>
      <x:c r="L188" s="45" t="str">
        <x:v>가정용 예약·배송·자율성을 분리</x:v>
      </x:c>
      <x:c r="M188" s="45" t="str">
        <x:v>7장 공급망</x:v>
      </x:c>
    </x:row>
    <x:row r="189" ht="15" hidden="0" customHeight="1">
      <x:c r="A189" s="2"/>
      <x:c r="B189" s="2"/>
      <x:c r="C189" s="45" t="str">
        <x:v>S183</x:v>
      </x:c>
      <x:c r="D189" s="45" t="str">
        <x:v>Unitree 공식 제품·공시·협력 자료</x:v>
      </x:c>
      <x:c r="E189" s="45" t="str">
        <x:v>Unitree 또는 공개 계약 상대방</x:v>
      </x:c>
      <x:c r="F189" s="49" t="str">
        <x:v>미확인</x:v>
      </x:c>
      <x:c r="G189" s="49" t="n">
        <x:v>46282</x:v>
      </x:c>
      <x:c r="H189" s="45" t="str">
        <x:v>원문</x:v>
      </x:c>
      <x:c r="I189" s="45" t="str">
        <x:v>기업 1차자료</x:v>
      </x:c>
      <x:c r="J189" s="45" t="str">
        <x:v>H·G·R 계열 및 NVIDIA 연구용 기준설계</x:v>
      </x:c>
      <x:c r="K189" s="45" t="str">
        <x:v>https://nvidianews.nvidia.com/news/nvidia-open-humanoid-robot-reference-design</x:v>
      </x:c>
      <x:c r="L189" s="45" t="str">
        <x:v>상장사항은 2026-09-16 확인자료 사용</x:v>
      </x:c>
      <x:c r="M189" s="45" t="str">
        <x:v>7장 공급망</x:v>
      </x:c>
    </x:row>
    <x:row r="190" ht="15" hidden="0" customHeight="1">
      <x:c r="A190" s="2"/>
      <x:c r="B190" s="2"/>
      <x:c r="C190" s="45" t="str">
        <x:v>S184</x:v>
      </x:c>
      <x:c r="D190" s="45" t="str">
        <x:v>UBTECH 공식 제품·공시·협력 자료</x:v>
      </x:c>
      <x:c r="E190" s="45" t="str">
        <x:v>UBTECH 또는 공개 계약 상대방</x:v>
      </x:c>
      <x:c r="F190" s="49" t="str">
        <x:v>미확인</x:v>
      </x:c>
      <x:c r="G190" s="49" t="n">
        <x:v>46282</x:v>
      </x:c>
      <x:c r="H190" s="45" t="str">
        <x:v>원문</x:v>
      </x:c>
      <x:c r="I190" s="45" t="str">
        <x:v>기업 1차자료</x:v>
      </x:c>
      <x:c r="J190" s="45" t="str">
        <x:v>Walker 산업용 및 여러 자동차 고객 사례</x:v>
      </x:c>
      <x:c r="K190" s="45" t="str">
        <x:v>https://owebsite-cdn.ubtrobot.com/resources/file/2025/03/03/650707793301573.pdf</x:v>
      </x:c>
      <x:c r="L190" s="45" t="str">
        <x:v>관계 존재와 납품·매출 인식은 별개</x:v>
      </x:c>
      <x:c r="M190" s="45" t="str">
        <x:v>7장 공급망</x:v>
      </x:c>
    </x:row>
    <x:row r="191" ht="15" hidden="0" customHeight="1">
      <x:c r="A191" s="2"/>
      <x:c r="B191" s="2"/>
      <x:c r="C191" s="45" t="str">
        <x:v>S185</x:v>
      </x:c>
      <x:c r="D191" s="45" t="str">
        <x:v>UBTECH 공식 제품·공시·협력 자료</x:v>
      </x:c>
      <x:c r="E191" s="45" t="str">
        <x:v>UBTECH 또는 공개 계약 상대방</x:v>
      </x:c>
      <x:c r="F191" s="49" t="str">
        <x:v>미확인</x:v>
      </x:c>
      <x:c r="G191" s="49" t="n">
        <x:v>46282</x:v>
      </x:c>
      <x:c r="H191" s="45" t="str">
        <x:v>원문</x:v>
      </x:c>
      <x:c r="I191" s="45" t="str">
        <x:v>기업 1차자료</x:v>
      </x:c>
      <x:c r="J191" s="45" t="str">
        <x:v>Walker 산업용 및 여러 자동차 고객 사례</x:v>
      </x:c>
      <x:c r="K191" s="45" t="str">
        <x:v>https://www.hkex.com.hk/Market-Data/Securities-Prices/Equities/Equities-Quote?sc_lang=en&amp;sym=9880</x:v>
      </x:c>
      <x:c r="L191" s="45" t="str">
        <x:v>관계 존재와 납품·매출 인식은 별개</x:v>
      </x:c>
      <x:c r="M191" s="45" t="str">
        <x:v>7장 공급망</x:v>
      </x:c>
    </x:row>
    <x:row r="192" ht="15" hidden="0" customHeight="1">
      <x:c r="A192" s="2"/>
      <x:c r="B192" s="2"/>
      <x:c r="C192" s="45" t="str">
        <x:v>S186</x:v>
      </x:c>
      <x:c r="D192" s="45" t="str">
        <x:v>Fourier 공식 제품·공시·협력 자료</x:v>
      </x:c>
      <x:c r="E192" s="45" t="str">
        <x:v>Fourier 또는 공개 계약 상대방</x:v>
      </x:c>
      <x:c r="F192" s="49" t="str">
        <x:v>미확인</x:v>
      </x:c>
      <x:c r="G192" s="49" t="n">
        <x:v>46282</x:v>
      </x:c>
      <x:c r="H192" s="45" t="str">
        <x:v>원문</x:v>
      </x:c>
      <x:c r="I192" s="45" t="str">
        <x:v>기업 1차자료</x:v>
      </x:c>
      <x:c r="J192" s="45" t="str">
        <x:v>GRx 이족형·돌봄 지향 설계</x:v>
      </x:c>
      <x:c r="K192" s="45" t="str">
        <x:v>https://www.fftai.com/</x:v>
      </x:c>
      <x:c r="L192" s="45" t="str">
        <x:v>의료재활 본업과 일반 휴머노이드 매출을 분리</x:v>
      </x:c>
      <x:c r="M192" s="45" t="str">
        <x:v>7장 공급망</x:v>
      </x:c>
    </x:row>
    <x:row r="193" ht="15" hidden="0" customHeight="1">
      <x:c r="A193" s="2"/>
      <x:c r="B193" s="2"/>
      <x:c r="C193" s="45" t="str">
        <x:v>S187</x:v>
      </x:c>
      <x:c r="D193" s="45" t="str">
        <x:v>LimX Dynamics 공식 제품·공시·협력 자료</x:v>
      </x:c>
      <x:c r="E193" s="45" t="str">
        <x:v>LimX Dynamics 또는 공개 계약 상대방</x:v>
      </x:c>
      <x:c r="F193" s="49" t="str">
        <x:v>미확인</x:v>
      </x:c>
      <x:c r="G193" s="49" t="n">
        <x:v>46282</x:v>
      </x:c>
      <x:c r="H193" s="45" t="str">
        <x:v>원문</x:v>
      </x:c>
      <x:c r="I193" s="45" t="str">
        <x:v>기업 1차자료</x:v>
      </x:c>
      <x:c r="J193" s="45" t="str">
        <x:v>Oli·TRON 및 학습·제어 도구</x:v>
      </x:c>
      <x:c r="K193" s="45" t="str">
        <x:v>https://www.limxdynamics.com/</x:v>
      </x:c>
      <x:c r="L193" s="45" t="str">
        <x:v>연구 플랫폼 판매와 노동대체 실적 구분</x:v>
      </x:c>
      <x:c r="M193" s="45" t="str">
        <x:v>7장 공급망</x:v>
      </x:c>
    </x:row>
    <x:row r="194" ht="15" hidden="0" customHeight="1">
      <x:c r="A194" s="2"/>
      <x:c r="B194" s="2"/>
      <x:c r="C194" s="45" t="str">
        <x:v>S188</x:v>
      </x:c>
      <x:c r="D194" s="45" t="str">
        <x:v>Leju 공식 제품·공시·협력 자료</x:v>
      </x:c>
      <x:c r="E194" s="45" t="str">
        <x:v>Leju 또는 공개 계약 상대방</x:v>
      </x:c>
      <x:c r="F194" s="49" t="str">
        <x:v>미확인</x:v>
      </x:c>
      <x:c r="G194" s="49" t="n">
        <x:v>46282</x:v>
      </x:c>
      <x:c r="H194" s="45" t="str">
        <x:v>원문</x:v>
      </x:c>
      <x:c r="I194" s="45" t="str">
        <x:v>기업 1차자료</x:v>
      </x:c>
      <x:c r="J194" s="45" t="str">
        <x:v>Kuavo 일반 휴머노이드·교육·산업 시나리오</x:v>
      </x:c>
      <x:c r="K194" s="45" t="str">
        <x:v>https://www.lejurobot.com/</x:v>
      </x:c>
      <x:c r="L194" s="45" t="str">
        <x:v>교육 매출과 산업 작업 매출 구분</x:v>
      </x:c>
      <x:c r="M194" s="45" t="str">
        <x:v>7장 공급망</x:v>
      </x:c>
    </x:row>
    <x:row r="195" ht="15" hidden="0" customHeight="1">
      <x:c r="A195" s="2"/>
      <x:c r="B195" s="2"/>
      <x:c r="C195" s="45" t="str">
        <x:v>S189</x:v>
      </x:c>
      <x:c r="D195" s="45" t="str">
        <x:v>XPeng 공식 제품·공시·협력 자료</x:v>
      </x:c>
      <x:c r="E195" s="45" t="str">
        <x:v>XPeng 또는 공개 계약 상대방</x:v>
      </x:c>
      <x:c r="F195" s="49" t="str">
        <x:v>미확인</x:v>
      </x:c>
      <x:c r="G195" s="49" t="n">
        <x:v>46282</x:v>
      </x:c>
      <x:c r="H195" s="45" t="str">
        <x:v>원문</x:v>
      </x:c>
      <x:c r="I195" s="45" t="str">
        <x:v>기업 1차자료</x:v>
      </x:c>
      <x:c r="J195" s="45" t="str">
        <x:v>IRON·자동차 AI와 로봇 사업 연결</x:v>
      </x:c>
      <x:c r="K195" s="45" t="str">
        <x:v>https://www.xpeng.com/</x:v>
      </x:c>
      <x:c r="L195" s="45" t="str">
        <x:v>모회사 가치와 로봇 자회사 소유권·희석을 구분</x:v>
      </x:c>
      <x:c r="M195" s="45" t="str">
        <x:v>7장 공급망</x:v>
      </x:c>
    </x:row>
    <x:row r="196" ht="15" hidden="0" customHeight="1">
      <x:c r="A196" s="2"/>
      <x:c r="B196" s="2"/>
      <x:c r="C196" s="45" t="str">
        <x:v>S190</x:v>
      </x:c>
      <x:c r="D196" s="45" t="str">
        <x:v>EngineAI 공식 제품·공시·협력 자료</x:v>
      </x:c>
      <x:c r="E196" s="45" t="str">
        <x:v>EngineAI 또는 공개 계약 상대방</x:v>
      </x:c>
      <x:c r="F196" s="49" t="str">
        <x:v>미확인</x:v>
      </x:c>
      <x:c r="G196" s="49" t="n">
        <x:v>46282</x:v>
      </x:c>
      <x:c r="H196" s="45" t="str">
        <x:v>원문</x:v>
      </x:c>
      <x:c r="I196" s="45" t="str">
        <x:v>기업 1차자료</x:v>
      </x:c>
      <x:c r="J196" s="45" t="str">
        <x:v>PM01·T800 기체와 제품별 가격·용도</x:v>
      </x:c>
      <x:c r="K196" s="45" t="str">
        <x:v>https://en.engineai.com.cn/about-news-media/37.html</x:v>
      </x:c>
      <x:c r="L196" s="45" t="str">
        <x:v>출시 발표의 세계 최초·성능 우월 표현은 독립 검증 아님</x:v>
      </x:c>
      <x:c r="M196" s="45" t="str">
        <x:v>7장 공급망</x:v>
      </x:c>
    </x:row>
    <x:row r="197" ht="15" hidden="0" customHeight="1">
      <x:c r="A197" s="2"/>
      <x:c r="B197" s="2"/>
      <x:c r="C197" s="45" t="str">
        <x:v>S191</x:v>
      </x:c>
      <x:c r="D197" s="45" t="str">
        <x:v>Galbot 공식 제품·공시·협력 자료</x:v>
      </x:c>
      <x:c r="E197" s="45" t="str">
        <x:v>Galbot 또는 공개 계약 상대방</x:v>
      </x:c>
      <x:c r="F197" s="49" t="str">
        <x:v>미확인</x:v>
      </x:c>
      <x:c r="G197" s="49" t="n">
        <x:v>46282</x:v>
      </x:c>
      <x:c r="H197" s="45" t="str">
        <x:v>원문</x:v>
      </x:c>
      <x:c r="I197" s="45" t="str">
        <x:v>기업 1차자료</x:v>
      </x:c>
      <x:c r="J197" s="45" t="str">
        <x:v>G1·ET1·AstraBrain 및 시뮬레이션 기반 조작</x:v>
      </x:c>
      <x:c r="K197" s="45" t="str">
        <x:v>https://www.galbot.com/</x:v>
      </x:c>
      <x:c r="L197" s="45" t="str">
        <x:v>바퀴형·이족형과 모델을 별도 평가</x:v>
      </x:c>
      <x:c r="M197" s="45" t="str">
        <x:v>7장 공급망</x:v>
      </x:c>
    </x:row>
    <x:row r="198" ht="15" hidden="0" customHeight="1">
      <x:c r="A198" s="2"/>
      <x:c r="B198" s="2"/>
      <x:c r="C198" s="45" t="str">
        <x:v>S192</x:v>
      </x:c>
      <x:c r="D198" s="45" t="str">
        <x:v>Astribot 공식 제품·공시·협력 자료</x:v>
      </x:c>
      <x:c r="E198" s="45" t="str">
        <x:v>Astribot 또는 공개 계약 상대방</x:v>
      </x:c>
      <x:c r="F198" s="49" t="str">
        <x:v>미확인</x:v>
      </x:c>
      <x:c r="G198" s="49" t="n">
        <x:v>46282</x:v>
      </x:c>
      <x:c r="H198" s="45" t="str">
        <x:v>원문</x:v>
      </x:c>
      <x:c r="I198" s="45" t="str">
        <x:v>기업 1차자료</x:v>
      </x:c>
      <x:c r="J198" s="45" t="str">
        <x:v>S1 및 조작 중심 하드웨어·AI 통합</x:v>
      </x:c>
      <x:c r="K198" s="45" t="str">
        <x:v>https://www.astribot.com/</x:v>
      </x:c>
      <x:c r="L198" s="45" t="str">
        <x:v>서비스 시연과 유상 운영 구분</x:v>
      </x:c>
      <x:c r="M198" s="45" t="str">
        <x:v>7장 공급망</x:v>
      </x:c>
    </x:row>
    <x:row r="199" ht="15" hidden="0" customHeight="1">
      <x:c r="A199" s="2"/>
      <x:c r="B199" s="2"/>
      <x:c r="C199" s="45" t="str">
        <x:v>S193</x:v>
      </x:c>
      <x:c r="D199" s="45" t="str">
        <x:v>RobotEra 공식 제품·공시·협력 자료</x:v>
      </x:c>
      <x:c r="E199" s="45" t="str">
        <x:v>RobotEra 또는 공개 계약 상대방</x:v>
      </x:c>
      <x:c r="F199" s="49" t="str">
        <x:v>미확인</x:v>
      </x:c>
      <x:c r="G199" s="49" t="n">
        <x:v>46282</x:v>
      </x:c>
      <x:c r="H199" s="45" t="str">
        <x:v>원문</x:v>
      </x:c>
      <x:c r="I199" s="45" t="str">
        <x:v>기업 1차자료</x:v>
      </x:c>
      <x:c r="J199" s="45" t="str">
        <x:v>L7·Q5·M7 및 손·VLA</x:v>
      </x:c>
      <x:c r="K199" s="45" t="str">
        <x:v>https://www.robotera.com/</x:v>
      </x:c>
      <x:c r="L199" s="45" t="str">
        <x:v>검색된 공식 제품 설명 확인; 일부 직접읽기 시간초과</x:v>
      </x:c>
      <x:c r="M199" s="45" t="str">
        <x:v>7장 공급망</x:v>
      </x:c>
    </x:row>
    <x:row r="200" ht="24" hidden="0" customHeight="1">
      <x:c r="A200" s="2"/>
      <x:c r="B200" s="2"/>
      <x:c r="C200" s="45" t="str">
        <x:v>S194</x:v>
      </x:c>
      <x:c r="D200" s="45" t="str">
        <x:v>Beijing Humanoid Innovation Center 공식 제품·공시·협력 자료</x:v>
      </x:c>
      <x:c r="E200" s="45" t="str">
        <x:v>Beijing Humanoid Innovation Center 또는 공개 계약 상대방</x:v>
      </x:c>
      <x:c r="F200" s="49" t="str">
        <x:v>미확인</x:v>
      </x:c>
      <x:c r="G200" s="49" t="n">
        <x:v>46282</x:v>
      </x:c>
      <x:c r="H200" s="45" t="str">
        <x:v>원문</x:v>
      </x:c>
      <x:c r="I200" s="45" t="str">
        <x:v>기업 1차자료</x:v>
      </x:c>
      <x:c r="J200" s="45" t="str">
        <x:v>Tiangong·Tianyi·모델·데이터·중간검증 플랫폼</x:v>
      </x:c>
      <x:c r="K200" s="45" t="str">
        <x:v>https://www.x-humanoid.com/</x:v>
      </x:c>
      <x:c r="L200" s="45" t="str">
        <x:v>기관 겸 기업; 경기 성과와 산업 작업을 구분</x:v>
      </x:c>
      <x:c r="M200" s="45" t="str">
        <x:v>7장 공급망</x:v>
      </x:c>
    </x:row>
    <x:row r="201" ht="15" hidden="0" customHeight="1">
      <x:c r="A201" s="2"/>
      <x:c r="B201" s="2"/>
      <x:c r="C201" s="45" t="str">
        <x:v>S195</x:v>
      </x:c>
      <x:c r="D201" s="45" t="str">
        <x:v>Kepler 공식 제품·공시·협력 자료</x:v>
      </x:c>
      <x:c r="E201" s="45" t="str">
        <x:v>Kepler 또는 공개 계약 상대방</x:v>
      </x:c>
      <x:c r="F201" s="49" t="str">
        <x:v>미확인</x:v>
      </x:c>
      <x:c r="G201" s="49" t="n">
        <x:v>46282</x:v>
      </x:c>
      <x:c r="H201" s="45" t="str">
        <x:v>원문</x:v>
      </x:c>
      <x:c r="I201" s="45" t="str">
        <x:v>기업 1차자료</x:v>
      </x:c>
      <x:c r="J201" s="45" t="str">
        <x:v>Forerunner 기체·구동 아키텍처</x:v>
      </x:c>
      <x:c r="K201" s="45" t="str">
        <x:v>https://www.gotokepler.com/</x:v>
      </x:c>
      <x:c r="L201" s="45" t="str">
        <x:v>독립 고객 재주문 확인 별도 필요</x:v>
      </x:c>
      <x:c r="M201" s="45" t="str">
        <x:v>7장 공급망</x:v>
      </x:c>
    </x:row>
    <x:row r="202" ht="15" hidden="0" customHeight="1">
      <x:c r="A202" s="2"/>
      <x:c r="B202" s="2"/>
      <x:c r="C202" s="45" t="str">
        <x:v>S196</x:v>
      </x:c>
      <x:c r="D202" s="45" t="str">
        <x:v>NEURA Robotics 공식 제품·공시·협력 자료</x:v>
      </x:c>
      <x:c r="E202" s="45" t="str">
        <x:v>NEURA Robotics 또는 공개 계약 상대방</x:v>
      </x:c>
      <x:c r="F202" s="49" t="str">
        <x:v>미확인</x:v>
      </x:c>
      <x:c r="G202" s="49" t="n">
        <x:v>46282</x:v>
      </x:c>
      <x:c r="H202" s="45" t="str">
        <x:v>원문</x:v>
      </x:c>
      <x:c r="I202" s="45" t="str">
        <x:v>기업 1차자료</x:v>
      </x:c>
      <x:c r="J202" s="45" t="str">
        <x:v>4NE1·Omnisensor·Neuraverse·협동로봇</x:v>
      </x:c>
      <x:c r="K202" s="45" t="str">
        <x:v>https://neura-robotics.com/</x:v>
      </x:c>
      <x:c r="L202" s="45" t="str">
        <x:v>제품 예약과 운영 검증 구분</x:v>
      </x:c>
      <x:c r="M202" s="45" t="str">
        <x:v>7장 공급망</x:v>
      </x:c>
    </x:row>
    <x:row r="203" ht="15" hidden="0" customHeight="1">
      <x:c r="A203" s="2"/>
      <x:c r="B203" s="2"/>
      <x:c r="C203" s="45" t="str">
        <x:v>S197</x:v>
      </x:c>
      <x:c r="D203" s="45" t="str">
        <x:v>Humanoid 공식 제품·공시·협력 자료</x:v>
      </x:c>
      <x:c r="E203" s="45" t="str">
        <x:v>Humanoid 또는 공개 계약 상대방</x:v>
      </x:c>
      <x:c r="F203" s="49" t="str">
        <x:v>미확인</x:v>
      </x:c>
      <x:c r="G203" s="49" t="n">
        <x:v>46282</x:v>
      </x:c>
      <x:c r="H203" s="45" t="str">
        <x:v>원문</x:v>
      </x:c>
      <x:c r="I203" s="45" t="str">
        <x:v>기업 1차자료</x:v>
      </x:c>
      <x:c r="J203" s="45" t="str">
        <x:v>HMND·Schaeffler·Siemens 현장·Bosch 제조</x:v>
      </x:c>
      <x:c r="K203" s="45" t="str">
        <x:v>https://thehumanoid.ai/</x:v>
      </x:c>
      <x:c r="L203" s="45" t="str">
        <x:v>공급계약·도입계획을 실제 출하로 합산하지 않음</x:v>
      </x:c>
      <x:c r="M203" s="45" t="str">
        <x:v>7장 공급망</x:v>
      </x:c>
    </x:row>
    <x:row r="204" ht="15" hidden="0" customHeight="1">
      <x:c r="A204" s="2"/>
      <x:c r="B204" s="2"/>
      <x:c r="C204" s="45" t="str">
        <x:v>S198</x:v>
      </x:c>
      <x:c r="D204" s="45" t="str">
        <x:v>Sanctuary AI 공식 제품·공시·협력 자료</x:v>
      </x:c>
      <x:c r="E204" s="45" t="str">
        <x:v>Sanctuary AI 또는 공개 계약 상대방</x:v>
      </x:c>
      <x:c r="F204" s="49" t="str">
        <x:v>미확인</x:v>
      </x:c>
      <x:c r="G204" s="49" t="n">
        <x:v>46282</x:v>
      </x:c>
      <x:c r="H204" s="45" t="str">
        <x:v>원문</x:v>
      </x:c>
      <x:c r="I204" s="45" t="str">
        <x:v>기업 1차자료</x:v>
      </x:c>
      <x:c r="J204" s="45" t="str">
        <x:v>Phoenix·손·기존 산업용 기체에 Physical AI 배치</x:v>
      </x:c>
      <x:c r="K204" s="45" t="str">
        <x:v>https://sanctuary.ai/</x:v>
      </x:c>
      <x:c r="L204" s="45" t="str">
        <x:v>현재 사이트는 기존 로봇용 AI를 우선 제시; 휴머노이드는 로드맵 포함</x:v>
      </x:c>
      <x:c r="M204" s="45" t="str">
        <x:v>7장 공급망</x:v>
      </x:c>
    </x:row>
    <x:row r="205" ht="15" hidden="0" customHeight="1">
      <x:c r="A205" s="2"/>
      <x:c r="B205" s="2"/>
      <x:c r="C205" s="45" t="str">
        <x:v>S199</x:v>
      </x:c>
      <x:c r="D205" s="45" t="str">
        <x:v>PAL Robotics 공식 제품·공시·협력 자료</x:v>
      </x:c>
      <x:c r="E205" s="45" t="str">
        <x:v>PAL Robotics 또는 공개 계약 상대방</x:v>
      </x:c>
      <x:c r="F205" s="49" t="str">
        <x:v>미확인</x:v>
      </x:c>
      <x:c r="G205" s="49" t="n">
        <x:v>46282</x:v>
      </x:c>
      <x:c r="H205" s="45" t="str">
        <x:v>원문</x:v>
      </x:c>
      <x:c r="I205" s="45" t="str">
        <x:v>기업 1차자료</x:v>
      </x:c>
      <x:c r="J205" s="45" t="str">
        <x:v>TALOS·TIAGo Pro·바퀴형 양팔 비교</x:v>
      </x:c>
      <x:c r="K205" s="45" t="str">
        <x:v>https://pal-robotics.com/</x:v>
      </x:c>
      <x:c r="L205" s="45" t="str">
        <x:v>연구 장비와 산업 노동대체를 구분</x:v>
      </x:c>
      <x:c r="M205" s="45" t="str">
        <x:v>7장 공급망</x:v>
      </x:c>
    </x:row>
    <x:row r="206" ht="15" hidden="0" customHeight="1">
      <x:c r="A206" s="2"/>
      <x:c r="B206" s="2"/>
      <x:c r="C206" s="45" t="str">
        <x:v>S200</x:v>
      </x:c>
      <x:c r="D206" s="45" t="str">
        <x:v>PUDU Robotics 공식 제품·공시·협력 자료</x:v>
      </x:c>
      <x:c r="E206" s="45" t="str">
        <x:v>PUDU Robotics 또는 공개 계약 상대방</x:v>
      </x:c>
      <x:c r="F206" s="49" t="str">
        <x:v>미확인</x:v>
      </x:c>
      <x:c r="G206" s="49" t="n">
        <x:v>46282</x:v>
      </x:c>
      <x:c r="H206" s="45" t="str">
        <x:v>원문</x:v>
      </x:c>
      <x:c r="I206" s="45" t="str">
        <x:v>기업 1차자료</x:v>
      </x:c>
      <x:c r="J206" s="45" t="str">
        <x:v>D9 등 휴머노이드와 서비스 로봇 대안</x:v>
      </x:c>
      <x:c r="K206" s="45" t="str">
        <x:v>https://www.pudurobotics.com/</x:v>
      </x:c>
      <x:c r="L206" s="45" t="str">
        <x:v>배달·청소 기존 사업과 휴머노이드 구분</x:v>
      </x:c>
      <x:c r="M206" s="45" t="str">
        <x:v>7장 공급망</x:v>
      </x:c>
    </x:row>
    <x:row r="207" ht="15" hidden="0" customHeight="1">
      <x:c r="A207" s="2"/>
      <x:c r="B207" s="2"/>
      <x:c r="C207" s="45" t="str">
        <x:v>S201</x:v>
      </x:c>
      <x:c r="D207" s="45" t="str">
        <x:v>Reflex Robotics 공식 제품·공시·협력 자료</x:v>
      </x:c>
      <x:c r="E207" s="45" t="str">
        <x:v>Reflex Robotics 또는 공개 계약 상대방</x:v>
      </x:c>
      <x:c r="F207" s="49" t="str">
        <x:v>미확인</x:v>
      </x:c>
      <x:c r="G207" s="49" t="n">
        <x:v>46282</x:v>
      </x:c>
      <x:c r="H207" s="45" t="str">
        <x:v>원문</x:v>
      </x:c>
      <x:c r="I207" s="45" t="str">
        <x:v>기업 1차자료</x:v>
      </x:c>
      <x:c r="J207" s="45" t="str">
        <x:v>바퀴형 산업용 휴머노이드·실시간 감독 복구</x:v>
      </x:c>
      <x:c r="K207" s="45" t="str">
        <x:v>https://reflexrobotics.com/</x:v>
      </x:c>
      <x:c r="L207" s="45" t="str">
        <x:v>감독을 포함한 운영모델로 기록</x:v>
      </x:c>
      <x:c r="M207" s="45" t="str">
        <x:v>7장 공급망</x:v>
      </x:c>
    </x:row>
    <x:row r="208" ht="15" hidden="0" customHeight="1">
      <x:c r="A208" s="2"/>
      <x:c r="B208" s="2"/>
      <x:c r="C208" s="45" t="str">
        <x:v>S202</x:v>
      </x:c>
      <x:c r="D208" s="45" t="str">
        <x:v>Harmonic Drive Systems 공식 제품·공시·협력 자료</x:v>
      </x:c>
      <x:c r="E208" s="45" t="str">
        <x:v>Harmonic Drive Systems 또는 공개 계약 상대방</x:v>
      </x:c>
      <x:c r="F208" s="49" t="str">
        <x:v>미확인</x:v>
      </x:c>
      <x:c r="G208" s="49" t="n">
        <x:v>46282</x:v>
      </x:c>
      <x:c r="H208" s="45" t="str">
        <x:v>원문</x:v>
      </x:c>
      <x:c r="I208" s="45" t="str">
        <x:v>기업 1차자료</x:v>
      </x:c>
      <x:c r="J208" s="45" t="str">
        <x:v>파동감속기·휴머노이드 전용 관절 액추에이터 참고출품</x:v>
      </x:c>
      <x:c r="K208" s="45" t="str">
        <x:v>https://www.hds.co.jp/products/news/exhibition/?TabModule1211=0&amp;dispmid=1492&amp;itemid=493</x:v>
      </x:c>
      <x:c r="L208" s="45" t="str">
        <x:v>특정 최신 OEM 공급량 미확인</x:v>
      </x:c>
      <x:c r="M208" s="45" t="str">
        <x:v>7장 공급망</x:v>
      </x:c>
    </x:row>
    <x:row r="209" ht="15" hidden="0" customHeight="1">
      <x:c r="A209" s="2"/>
      <x:c r="B209" s="2"/>
      <x:c r="C209" s="45" t="str">
        <x:v>S203</x:v>
      </x:c>
      <x:c r="D209" s="45" t="str">
        <x:v>Nabtesco 공식 제품·공시·협력 자료</x:v>
      </x:c>
      <x:c r="E209" s="45" t="str">
        <x:v>Nabtesco 또는 공개 계약 상대방</x:v>
      </x:c>
      <x:c r="F209" s="49" t="str">
        <x:v>미확인</x:v>
      </x:c>
      <x:c r="G209" s="49" t="n">
        <x:v>46282</x:v>
      </x:c>
      <x:c r="H209" s="45" t="str">
        <x:v>원문</x:v>
      </x:c>
      <x:c r="I209" s="45" t="str">
        <x:v>기업 1차자료</x:v>
      </x:c>
      <x:c r="J209" s="45" t="str">
        <x:v>정밀 감속기·산업용 로봇 전달부품</x:v>
      </x:c>
      <x:c r="K209" s="45" t="str">
        <x:v>https://precision.nabtesco.com/en/</x:v>
      </x:c>
      <x:c r="L209" s="45" t="str">
        <x:v>휴머노이드 대량 수주 확정으로 해석 금지</x:v>
      </x:c>
      <x:c r="M209" s="45" t="str">
        <x:v>7장 공급망</x:v>
      </x:c>
    </x:row>
    <x:row r="210" ht="15" hidden="0" customHeight="1">
      <x:c r="A210" s="2"/>
      <x:c r="B210" s="2"/>
      <x:c r="C210" s="45" t="str">
        <x:v>S204</x:v>
      </x:c>
      <x:c r="D210" s="45" t="str">
        <x:v>Nabtesco 공식 제품·공시·협력 자료</x:v>
      </x:c>
      <x:c r="E210" s="45" t="str">
        <x:v>Nabtesco 또는 공개 계약 상대방</x:v>
      </x:c>
      <x:c r="F210" s="49" t="str">
        <x:v>미확인</x:v>
      </x:c>
      <x:c r="G210" s="49" t="n">
        <x:v>46282</x:v>
      </x:c>
      <x:c r="H210" s="45" t="str">
        <x:v>원문</x:v>
      </x:c>
      <x:c r="I210" s="45" t="str">
        <x:v>기업 1차자료</x:v>
      </x:c>
      <x:c r="J210" s="45" t="str">
        <x:v>정밀 감속기·산업용 로봇 전달부품</x:v>
      </x:c>
      <x:c r="K210" s="45" t="str">
        <x:v>https://www.nabtesco.com/en/about/ir/stock/stock-information/</x:v>
      </x:c>
      <x:c r="L210" s="45" t="str">
        <x:v>휴머노이드 대량 수주 확정으로 해석 금지</x:v>
      </x:c>
      <x:c r="M210" s="45" t="str">
        <x:v>7장 공급망</x:v>
      </x:c>
    </x:row>
    <x:row r="211" ht="15" hidden="0" customHeight="1">
      <x:c r="A211" s="2"/>
      <x:c r="B211" s="2"/>
      <x:c r="C211" s="45" t="str">
        <x:v>S205</x:v>
      </x:c>
      <x:c r="D211" s="45" t="str">
        <x:v>THK 공식 제품·공시·협력 자료</x:v>
      </x:c>
      <x:c r="E211" s="45" t="str">
        <x:v>THK 또는 공개 계약 상대방</x:v>
      </x:c>
      <x:c r="F211" s="49" t="str">
        <x:v>미확인</x:v>
      </x:c>
      <x:c r="G211" s="49" t="n">
        <x:v>46282</x:v>
      </x:c>
      <x:c r="H211" s="45" t="str">
        <x:v>원문</x:v>
      </x:c>
      <x:c r="I211" s="45" t="str">
        <x:v>기업 1차자료</x:v>
      </x:c>
      <x:c r="J211" s="45" t="str">
        <x:v>직선운동 부품과 FRED 휴머노이드 연구</x:v>
      </x:c>
      <x:c r="K211" s="45" t="str">
        <x:v>https://www.thk.com/jp/en/journal/products/article-02072025-1.html</x:v>
      </x:c>
      <x:c r="L211" s="45" t="str">
        <x:v>자체 연구 기체와 외부 양산 납품 구분</x:v>
      </x:c>
      <x:c r="M211" s="45" t="str">
        <x:v>7장 공급망</x:v>
      </x:c>
    </x:row>
    <x:row r="212" ht="15" hidden="0" customHeight="1">
      <x:c r="A212" s="2"/>
      <x:c r="B212" s="2"/>
      <x:c r="C212" s="45" t="str">
        <x:v>S206</x:v>
      </x:c>
      <x:c r="D212" s="45" t="str">
        <x:v>HIWIN Technologies 공식 제품·공시·협력 자료</x:v>
      </x:c>
      <x:c r="E212" s="45" t="str">
        <x:v>HIWIN Technologies 또는 공개 계약 상대방</x:v>
      </x:c>
      <x:c r="F212" s="49" t="str">
        <x:v>미확인</x:v>
      </x:c>
      <x:c r="G212" s="49" t="n">
        <x:v>46282</x:v>
      </x:c>
      <x:c r="H212" s="45" t="str">
        <x:v>원문</x:v>
      </x:c>
      <x:c r="I212" s="45" t="str">
        <x:v>기업 1차자료</x:v>
      </x:c>
      <x:c r="J212" s="45" t="str">
        <x:v>볼스크루·직선가이드·정밀 구동 부품</x:v>
      </x:c>
      <x:c r="K212" s="45" t="str">
        <x:v>https://www.hiwin.tw/</x:v>
      </x:c>
      <x:c r="L212" s="45" t="str">
        <x:v>HIWIN Mikrosystem 별도 법인과 혼동 금지</x:v>
      </x:c>
      <x:c r="M212" s="45" t="str">
        <x:v>7장 공급망</x:v>
      </x:c>
    </x:row>
    <x:row r="213" ht="15" hidden="0" customHeight="1">
      <x:c r="A213" s="2"/>
      <x:c r="B213" s="2"/>
      <x:c r="C213" s="45" t="str">
        <x:v>S207</x:v>
      </x:c>
      <x:c r="D213" s="45" t="str">
        <x:v>HIWIN Technologies 공식 제품·공시·협력 자료</x:v>
      </x:c>
      <x:c r="E213" s="45" t="str">
        <x:v>HIWIN Technologies 또는 공개 계약 상대방</x:v>
      </x:c>
      <x:c r="F213" s="49" t="str">
        <x:v>미확인</x:v>
      </x:c>
      <x:c r="G213" s="49" t="n">
        <x:v>46282</x:v>
      </x:c>
      <x:c r="H213" s="45" t="str">
        <x:v>원문</x:v>
      </x:c>
      <x:c r="I213" s="45" t="str">
        <x:v>기업 1차자료</x:v>
      </x:c>
      <x:c r="J213" s="45" t="str">
        <x:v>볼스크루·직선가이드·정밀 구동 부품</x:v>
      </x:c>
      <x:c r="K213" s="45" t="str">
        <x:v>https://www.hiwin.tw/stock/stock_info.aspx</x:v>
      </x:c>
      <x:c r="L213" s="45" t="str">
        <x:v>HIWIN Mikrosystem 별도 법인과 혼동 금지</x:v>
      </x:c>
      <x:c r="M213" s="45" t="str">
        <x:v>7장 공급망</x:v>
      </x:c>
    </x:row>
    <x:row r="214" ht="15" hidden="0" customHeight="1">
      <x:c r="A214" s="2"/>
      <x:c r="B214" s="2"/>
      <x:c r="C214" s="45" t="str">
        <x:v>S208</x:v>
      </x:c>
      <x:c r="D214" s="45" t="str">
        <x:v>Leaderdrive 공식 제품·공시·협력 자료</x:v>
      </x:c>
      <x:c r="E214" s="45" t="str">
        <x:v>Leaderdrive 또는 공개 계약 상대방</x:v>
      </x:c>
      <x:c r="F214" s="49" t="str">
        <x:v>미확인</x:v>
      </x:c>
      <x:c r="G214" s="49" t="n">
        <x:v>46282</x:v>
      </x:c>
      <x:c r="H214" s="45" t="str">
        <x:v>원문</x:v>
      </x:c>
      <x:c r="I214" s="45" t="str">
        <x:v>기업 1차자료</x:v>
      </x:c>
      <x:c r="J214" s="45" t="str">
        <x:v>파동감속기·통합구동 및 SKF 정밀전달 JV</x:v>
      </x:c>
      <x:c r="K214" s="45" t="str">
        <x:v>https://www.skf.com/group/news-and-events/news/2026/2026-Jul-02-skf-and-leaderdrive-form-a-venture-for-precision-components-in-humanoids</x:v>
      </x:c>
      <x:c r="L214" s="45" t="str">
        <x:v>JV 계획과 확정 OEM 공급을 분리</x:v>
      </x:c>
      <x:c r="M214" s="45" t="str">
        <x:v>7장 공급망</x:v>
      </x:c>
    </x:row>
    <x:row r="215" ht="15" hidden="0" customHeight="1">
      <x:c r="A215" s="2"/>
      <x:c r="B215" s="2"/>
      <x:c r="C215" s="45" t="str">
        <x:v>S209</x:v>
      </x:c>
      <x:c r="D215" s="45" t="str">
        <x:v>Inovance 공식 제품·공시·협력 자료</x:v>
      </x:c>
      <x:c r="E215" s="45" t="str">
        <x:v>Inovance 또는 공개 계약 상대방</x:v>
      </x:c>
      <x:c r="F215" s="49" t="str">
        <x:v>미확인</x:v>
      </x:c>
      <x:c r="G215" s="49" t="n">
        <x:v>46282</x:v>
      </x:c>
      <x:c r="H215" s="45" t="str">
        <x:v>원문</x:v>
      </x:c>
      <x:c r="I215" s="45" t="str">
        <x:v>기업 1차자료</x:v>
      </x:c>
      <x:c r="J215" s="45" t="str">
        <x:v>휴머노이드 관절·무프레임모터·저전압서보·산업자동화</x:v>
      </x:c>
      <x:c r="K215" s="45" t="str">
        <x:v>https://www.inovance.com/</x:v>
      </x:c>
      <x:c r="L215" s="45" t="str">
        <x:v>공식 검색 설명 확인; 개별 OEM 고객 미확인</x:v>
      </x:c>
      <x:c r="M215" s="45" t="str">
        <x:v>7장 공급망</x:v>
      </x:c>
    </x:row>
    <x:row r="216" ht="15" hidden="0" customHeight="1">
      <x:c r="A216" s="2"/>
      <x:c r="B216" s="2"/>
      <x:c r="C216" s="45" t="str">
        <x:v>S210</x:v>
      </x:c>
      <x:c r="D216" s="45" t="str">
        <x:v>Leadshine 공식 제품·공시·협력 자료</x:v>
      </x:c>
      <x:c r="E216" s="45" t="str">
        <x:v>Leadshine 또는 공개 계약 상대방</x:v>
      </x:c>
      <x:c r="F216" s="49" t="str">
        <x:v>미확인</x:v>
      </x:c>
      <x:c r="G216" s="49" t="n">
        <x:v>46282</x:v>
      </x:c>
      <x:c r="H216" s="45" t="str">
        <x:v>원문</x:v>
      </x:c>
      <x:c r="I216" s="45" t="str">
        <x:v>기업 1차자료</x:v>
      </x:c>
      <x:c r="J216" s="45" t="str">
        <x:v>무프레임모터·HJ/PJ 관절·DH 손 및 통신 제어</x:v>
      </x:c>
      <x:c r="K216" s="45" t="str">
        <x:v>https://www.leadshine.com/</x:v>
      </x:c>
      <x:c r="L216" s="45" t="str">
        <x:v>제품 존재가 Tesla 등 OEM 공급 증거는 아님</x:v>
      </x:c>
      <x:c r="M216" s="45" t="str">
        <x:v>7장 공급망</x:v>
      </x:c>
    </x:row>
    <x:row r="217" ht="15" hidden="0" customHeight="1">
      <x:c r="A217" s="2"/>
      <x:c r="B217" s="2"/>
      <x:c r="C217" s="45" t="str">
        <x:v>S211</x:v>
      </x:c>
      <x:c r="D217" s="45" t="str">
        <x:v>MOONS' 공식 제품·공시·협력 자료</x:v>
      </x:c>
      <x:c r="E217" s="45" t="str">
        <x:v>MOONS' 또는 공개 계약 상대방</x:v>
      </x:c>
      <x:c r="F217" s="49" t="str">
        <x:v>미확인</x:v>
      </x:c>
      <x:c r="G217" s="49" t="n">
        <x:v>46282</x:v>
      </x:c>
      <x:c r="H217" s="45" t="str">
        <x:v>원문</x:v>
      </x:c>
      <x:c r="I217" s="45" t="str">
        <x:v>기업 1차자료</x:v>
      </x:c>
      <x:c r="J217" s="45" t="str">
        <x:v>휴머노이드용 슬롯리스·코어리스 모터</x:v>
      </x:c>
      <x:c r="K217" s="45" t="str">
        <x:v>https://www.moonsindustries.com/</x:v>
      </x:c>
      <x:c r="L217" s="45" t="str">
        <x:v>소형 모터와 완성 액추에이터의 판매단위를 구분</x:v>
      </x:c>
      <x:c r="M217" s="45" t="str">
        <x:v>7장 공급망</x:v>
      </x:c>
    </x:row>
    <x:row r="218" ht="15" hidden="0" customHeight="1">
      <x:c r="A218" s="2"/>
      <x:c r="B218" s="2"/>
      <x:c r="C218" s="45" t="str">
        <x:v>S212</x:v>
      </x:c>
      <x:c r="D218" s="45" t="str">
        <x:v>ZHAOWEI 공식 제품·공시·협력 자료</x:v>
      </x:c>
      <x:c r="E218" s="45" t="str">
        <x:v>ZHAOWEI 또는 공개 계약 상대방</x:v>
      </x:c>
      <x:c r="F218" s="49" t="str">
        <x:v>미확인</x:v>
      </x:c>
      <x:c r="G218" s="49" t="n">
        <x:v>46282</x:v>
      </x:c>
      <x:c r="H218" s="45" t="str">
        <x:v>원문</x:v>
      </x:c>
      <x:c r="I218" s="45" t="str">
        <x:v>기업 1차자료</x:v>
      </x:c>
      <x:c r="J218" s="45" t="str">
        <x:v>마이크로 구동·모터·기어·제어 통합</x:v>
      </x:c>
      <x:c r="K218" s="45" t="str">
        <x:v>https://www.zwgearbox.com/</x:v>
      </x:c>
      <x:c r="L218" s="45" t="str">
        <x:v>공식 일반 로봇용 제품 확인; 특정 휴머노이드 수주 미확인</x:v>
      </x:c>
      <x:c r="M218" s="45" t="str">
        <x:v>7장 공급망</x:v>
      </x:c>
    </x:row>
    <x:row r="219" ht="15" hidden="0" customHeight="1">
      <x:c r="A219" s="2"/>
      <x:c r="B219" s="2"/>
      <x:c r="C219" s="45" t="str">
        <x:v>S213</x:v>
      </x:c>
      <x:c r="D219" s="45" t="str">
        <x:v>Sanhua 공식 제품·공시·협력 자료</x:v>
      </x:c>
      <x:c r="E219" s="45" t="str">
        <x:v>Sanhua 또는 공개 계약 상대방</x:v>
      </x:c>
      <x:c r="F219" s="49" t="str">
        <x:v>미확인</x:v>
      </x:c>
      <x:c r="G219" s="49" t="n">
        <x:v>46282</x:v>
      </x:c>
      <x:c r="H219" s="45" t="str">
        <x:v>원문</x:v>
      </x:c>
      <x:c r="I219" s="45" t="str">
        <x:v>기업 1차자료</x:v>
      </x:c>
      <x:c r="J219" s="45" t="str">
        <x:v>정밀 제어·열관리·로봇 액추에이터 조사 후보</x:v>
      </x:c>
      <x:c r="K219" s="45" t="str">
        <x:v>https://www.zjshc.com/</x:v>
      </x:c>
      <x:c r="L219" s="45" t="str">
        <x:v>홈페이지는 열관리 중심; 로봇 공급·주문을 검증된 사실로 적지 않음</x:v>
      </x:c>
      <x:c r="M219" s="45" t="str">
        <x:v>7장 공급망</x:v>
      </x:c>
    </x:row>
    <x:row r="220" ht="15" hidden="0" customHeight="1">
      <x:c r="A220" s="2"/>
      <x:c r="B220" s="2"/>
      <x:c r="C220" s="45" t="str">
        <x:v>S214</x:v>
      </x:c>
      <x:c r="D220" s="45" t="str">
        <x:v>Tuopu 공식 제품·공시·협력 자료</x:v>
      </x:c>
      <x:c r="E220" s="45" t="str">
        <x:v>Tuopu 또는 공개 계약 상대방</x:v>
      </x:c>
      <x:c r="F220" s="49" t="str">
        <x:v>미확인</x:v>
      </x:c>
      <x:c r="G220" s="49" t="n">
        <x:v>46282</x:v>
      </x:c>
      <x:c r="H220" s="45" t="str">
        <x:v>원문</x:v>
      </x:c>
      <x:c r="I220" s="45" t="str">
        <x:v>기업 1차자료</x:v>
      </x:c>
      <x:c r="J220" s="45" t="str">
        <x:v>로봇 회전·직선 액추에이터 사업</x:v>
      </x:c>
      <x:c r="K220" s="45" t="str">
        <x:v>https://www.tuopu.com/en/product_category/robot-actuator/</x:v>
      </x:c>
      <x:c r="L220" s="45" t="str">
        <x:v>자동차 고객 명단을 로봇 고객 명단으로 전용하지 않음</x:v>
      </x:c>
      <x:c r="M220" s="45" t="str">
        <x:v>7장 공급망</x:v>
      </x:c>
    </x:row>
    <x:row r="221" ht="15" hidden="0" customHeight="1">
      <x:c r="A221" s="2"/>
      <x:c r="B221" s="2"/>
      <x:c r="C221" s="45" t="str">
        <x:v>S215</x:v>
      </x:c>
      <x:c r="D221" s="45" t="str">
        <x:v>Tuopu 공식 제품·공시·협력 자료</x:v>
      </x:c>
      <x:c r="E221" s="45" t="str">
        <x:v>Tuopu 또는 공개 계약 상대방</x:v>
      </x:c>
      <x:c r="F221" s="49" t="str">
        <x:v>미확인</x:v>
      </x:c>
      <x:c r="G221" s="49" t="n">
        <x:v>46282</x:v>
      </x:c>
      <x:c r="H221" s="45" t="str">
        <x:v>원문</x:v>
      </x:c>
      <x:c r="I221" s="45" t="str">
        <x:v>기업 1차자료</x:v>
      </x:c>
      <x:c r="J221" s="45" t="str">
        <x:v>로봇 회전·직선 액추에이터 사업</x:v>
      </x:c>
      <x:c r="K221" s="45" t="str">
        <x:v>https://www.tuopu.com/en/home/</x:v>
      </x:c>
      <x:c r="L221" s="45" t="str">
        <x:v>자동차 고객 명단을 로봇 고객 명단으로 전용하지 않음</x:v>
      </x:c>
      <x:c r="M221" s="45" t="str">
        <x:v>7장 공급망</x:v>
      </x:c>
    </x:row>
    <x:row r="222" ht="15" hidden="0" customHeight="1">
      <x:c r="A222" s="2"/>
      <x:c r="B222" s="2"/>
      <x:c r="C222" s="45" t="str">
        <x:v>S216</x:v>
      </x:c>
      <x:c r="D222" s="45" t="str">
        <x:v>maxon 공식 제품·공시·협력 자료</x:v>
      </x:c>
      <x:c r="E222" s="45" t="str">
        <x:v>maxon 또는 공개 계약 상대방</x:v>
      </x:c>
      <x:c r="F222" s="49" t="str">
        <x:v>미확인</x:v>
      </x:c>
      <x:c r="G222" s="49" t="n">
        <x:v>46282</x:v>
      </x:c>
      <x:c r="H222" s="45" t="str">
        <x:v>원문</x:v>
      </x:c>
      <x:c r="I222" s="45" t="str">
        <x:v>기업 1차자료</x:v>
      </x:c>
      <x:c r="J222" s="45" t="str">
        <x:v>휴머노이드·로봇 손용 정밀 소형 모터</x:v>
      </x:c>
      <x:c r="K222" s="45" t="str">
        <x:v>https://www.maxongroup.com/en</x:v>
      </x:c>
      <x:c r="L222" s="45" t="str">
        <x:v>연구용 적용과 산업용 대량수주 구분</x:v>
      </x:c>
      <x:c r="M222" s="45" t="str">
        <x:v>7장 공급망</x:v>
      </x:c>
    </x:row>
    <x:row r="223" ht="15" hidden="0" customHeight="1">
      <x:c r="A223" s="2"/>
      <x:c r="B223" s="2"/>
      <x:c r="C223" s="45" t="str">
        <x:v>S217</x:v>
      </x:c>
      <x:c r="D223" s="45" t="str">
        <x:v>Shadow Robot 공식 제품·공시·협력 자료</x:v>
      </x:c>
      <x:c r="E223" s="45" t="str">
        <x:v>Shadow Robot 또는 공개 계약 상대방</x:v>
      </x:c>
      <x:c r="F223" s="49" t="str">
        <x:v>미확인</x:v>
      </x:c>
      <x:c r="G223" s="49" t="n">
        <x:v>46282</x:v>
      </x:c>
      <x:c r="H223" s="45" t="str">
        <x:v>원문</x:v>
      </x:c>
      <x:c r="I223" s="45" t="str">
        <x:v>기업 1차자료</x:v>
      </x:c>
      <x:c r="J223" s="45" t="str">
        <x:v>Dexterous Hand·DeepMind 공동 DEX-EE</x:v>
      </x:c>
      <x:c r="K223" s="45" t="str">
        <x:v>https://shadowrobot.com/</x:v>
      </x:c>
      <x:c r="L223" s="45" t="str">
        <x:v>DEX-EE 연구 도구를 양산 가정용 손으로 동일시하지 않음</x:v>
      </x:c>
      <x:c r="M223" s="45" t="str">
        <x:v>7장 공급망</x:v>
      </x:c>
    </x:row>
    <x:row r="224" ht="15" hidden="0" customHeight="1">
      <x:c r="A224" s="2"/>
      <x:c r="B224" s="2"/>
      <x:c r="C224" s="45" t="str">
        <x:v>S218</x:v>
      </x:c>
      <x:c r="D224" s="45" t="str">
        <x:v>Inspire Robots 공식 제품·공시·협력 자료</x:v>
      </x:c>
      <x:c r="E224" s="45" t="str">
        <x:v>Inspire Robots 또는 공개 계약 상대방</x:v>
      </x:c>
      <x:c r="F224" s="49" t="str">
        <x:v>미확인</x:v>
      </x:c>
      <x:c r="G224" s="49" t="n">
        <x:v>46282</x:v>
      </x:c>
      <x:c r="H224" s="45" t="str">
        <x:v>원문</x:v>
      </x:c>
      <x:c r="I224" s="45" t="str">
        <x:v>기업 1차자료</x:v>
      </x:c>
      <x:c r="J224" s="45" t="str">
        <x:v>마이크로 선형서보와 다지 손</x:v>
      </x:c>
      <x:c r="K224" s="45" t="str">
        <x:v>https://en.inspire-robots.com/</x:v>
      </x:c>
      <x:c r="L224" s="45" t="str">
        <x:v>능동 자유도와 관절 수를 구분</x:v>
      </x:c>
      <x:c r="M224" s="45" t="str">
        <x:v>7장 공급망</x:v>
      </x:c>
    </x:row>
    <x:row r="225" ht="15" hidden="0" customHeight="1">
      <x:c r="A225" s="2"/>
      <x:c r="B225" s="2"/>
      <x:c r="C225" s="45" t="str">
        <x:v>S219</x:v>
      </x:c>
      <x:c r="D225" s="45" t="str">
        <x:v>Linkerbot 공식 제품·공시·협력 자료</x:v>
      </x:c>
      <x:c r="E225" s="45" t="str">
        <x:v>Linkerbot 또는 공개 계약 상대방</x:v>
      </x:c>
      <x:c r="F225" s="49" t="str">
        <x:v>미확인</x:v>
      </x:c>
      <x:c r="G225" s="49" t="n">
        <x:v>46282</x:v>
      </x:c>
      <x:c r="H225" s="45" t="str">
        <x:v>원문</x:v>
      </x:c>
      <x:c r="I225" s="45" t="str">
        <x:v>기업 1차자료</x:v>
      </x:c>
      <x:c r="J225" s="45" t="str">
        <x:v>연결구조·직접구동·텐던식 손과 학습 데이터</x:v>
      </x:c>
      <x:c r="K225" s="45" t="str">
        <x:v>https://linkerbot.cn/</x:v>
      </x:c>
      <x:c r="L225" s="45" t="str">
        <x:v>회사 제시 시장점유율·수명은 자체 주장</x:v>
      </x:c>
      <x:c r="M225" s="45" t="str">
        <x:v>7장 공급망</x:v>
      </x:c>
    </x:row>
    <x:row r="226" ht="15" hidden="0" customHeight="1">
      <x:c r="A226" s="2"/>
      <x:c r="B226" s="2"/>
      <x:c r="C226" s="45" t="str">
        <x:v>S220</x:v>
      </x:c>
      <x:c r="D226" s="45" t="str">
        <x:v>PaXini 공식 제품·공시·협력 자료</x:v>
      </x:c>
      <x:c r="E226" s="45" t="str">
        <x:v>PaXini 또는 공개 계약 상대방</x:v>
      </x:c>
      <x:c r="F226" s="49" t="str">
        <x:v>미확인</x:v>
      </x:c>
      <x:c r="G226" s="49" t="n">
        <x:v>46282</x:v>
      </x:c>
      <x:c r="H226" s="45" t="str">
        <x:v>원문</x:v>
      </x:c>
      <x:c r="I226" s="45" t="str">
        <x:v>기업 1차자료</x:v>
      </x:c>
      <x:c r="J226" s="45" t="str">
        <x:v>다축 촉각·DexH·OmniSharing 데이터</x:v>
      </x:c>
      <x:c r="K226" s="45" t="str">
        <x:v>https://paxini.com/</x:v>
      </x:c>
      <x:c r="L226" s="45" t="str">
        <x:v>촉각 소자 수와 작업 성공률을 구분</x:v>
      </x:c>
      <x:c r="M226" s="45" t="str">
        <x:v>7장 공급망</x:v>
      </x:c>
    </x:row>
    <x:row r="227" ht="15" hidden="0" customHeight="1">
      <x:c r="A227" s="2"/>
      <x:c r="B227" s="2"/>
      <x:c r="C227" s="45" t="str">
        <x:v>S221</x:v>
      </x:c>
      <x:c r="D227" s="45" t="str">
        <x:v>GelSight 공식 제품·공시·협력 자료</x:v>
      </x:c>
      <x:c r="E227" s="45" t="str">
        <x:v>GelSight 또는 공개 계약 상대방</x:v>
      </x:c>
      <x:c r="F227" s="49" t="str">
        <x:v>미확인</x:v>
      </x:c>
      <x:c r="G227" s="49" t="n">
        <x:v>46282</x:v>
      </x:c>
      <x:c r="H227" s="45" t="str">
        <x:v>원문</x:v>
      </x:c>
      <x:c r="I227" s="45" t="str">
        <x:v>기업 1차자료</x:v>
      </x:c>
      <x:c r="J227" s="45" t="str">
        <x:v>광학 기반 촉각·접촉 형상 측정</x:v>
      </x:c>
      <x:c r="K227" s="45" t="str">
        <x:v>https://www.gelsight.com/</x:v>
      </x:c>
      <x:c r="L227" s="45" t="str">
        <x:v>일반 계측 매출과 로봇 촉각 매출 분리</x:v>
      </x:c>
      <x:c r="M227" s="45" t="str">
        <x:v>7장 공급망</x:v>
      </x:c>
    </x:row>
    <x:row r="228" ht="15" hidden="0" customHeight="1">
      <x:c r="A228" s="2"/>
      <x:c r="B228" s="2"/>
      <x:c r="C228" s="45" t="str">
        <x:v>S222</x:v>
      </x:c>
      <x:c r="D228" s="45" t="str">
        <x:v>XELA Robotics 공식 제품·공시·협력 자료</x:v>
      </x:c>
      <x:c r="E228" s="45" t="str">
        <x:v>XELA Robotics 또는 공개 계약 상대방</x:v>
      </x:c>
      <x:c r="F228" s="49" t="str">
        <x:v>미확인</x:v>
      </x:c>
      <x:c r="G228" s="49" t="n">
        <x:v>46282</x:v>
      </x:c>
      <x:c r="H228" s="45" t="str">
        <x:v>원문</x:v>
      </x:c>
      <x:c r="I228" s="45" t="str">
        <x:v>기업 1차자료</x:v>
      </x:c>
      <x:c r="J228" s="45" t="str">
        <x:v>uSkin 압력·전단 촉각과 uAi 소프트웨어</x:v>
      </x:c>
      <x:c r="K228" s="45" t="str">
        <x:v>https://xelarobotics.com/</x:v>
      </x:c>
      <x:c r="L228" s="45" t="str">
        <x:v>센서 사양은 특정 OEM 납품 증거 아님</x:v>
      </x:c>
      <x:c r="M228" s="45" t="str">
        <x:v>7장 공급망</x:v>
      </x:c>
    </x:row>
    <x:row r="229" ht="15" hidden="0" customHeight="1">
      <x:c r="A229" s="2"/>
      <x:c r="B229" s="2"/>
      <x:c r="C229" s="45" t="str">
        <x:v>S223</x:v>
      </x:c>
      <x:c r="D229" s="45" t="str">
        <x:v>Tesollo 공식 제품·공시·협력 자료</x:v>
      </x:c>
      <x:c r="E229" s="45" t="str">
        <x:v>Tesollo 또는 공개 계약 상대방</x:v>
      </x:c>
      <x:c r="F229" s="49" t="str">
        <x:v>미확인</x:v>
      </x:c>
      <x:c r="G229" s="49" t="n">
        <x:v>46282</x:v>
      </x:c>
      <x:c r="H229" s="45" t="str">
        <x:v>원문</x:v>
      </x:c>
      <x:c r="I229" s="45" t="str">
        <x:v>기업 1차자료</x:v>
      </x:c>
      <x:c r="J229" s="45" t="str">
        <x:v>DG-5F 20자유도 다지 손</x:v>
      </x:c>
      <x:c r="K229" s="45" t="str">
        <x:v>https://www.tesollo.com/</x:v>
      </x:c>
      <x:c r="L229" s="45" t="str">
        <x:v>해외 부품 경쟁 비교용; 국내 투자 추천군 아님</x:v>
      </x:c>
      <x:c r="M229" s="45" t="str">
        <x:v>7장 공급망</x:v>
      </x:c>
    </x:row>
    <x:row r="230" ht="15" hidden="0" customHeight="1">
      <x:c r="A230" s="2"/>
      <x:c r="B230" s="2"/>
      <x:c r="C230" s="45" t="str">
        <x:v>S224</x:v>
      </x:c>
      <x:c r="D230" s="45" t="str">
        <x:v>Novanta / ATI 공식 제품·공시·협력 자료</x:v>
      </x:c>
      <x:c r="E230" s="45" t="str">
        <x:v>Novanta / ATI 또는 공개 계약 상대방</x:v>
      </x:c>
      <x:c r="F230" s="49" t="str">
        <x:v>미확인</x:v>
      </x:c>
      <x:c r="G230" s="49" t="n">
        <x:v>46282</x:v>
      </x:c>
      <x:c r="H230" s="45" t="str">
        <x:v>원문</x:v>
      </x:c>
      <x:c r="I230" s="45" t="str">
        <x:v>기업 1차자료</x:v>
      </x:c>
      <x:c r="J230" s="45" t="str">
        <x:v>힘·토크 센서·Varo 휴머노이드 손목용 제품</x:v>
      </x:c>
      <x:c r="K230" s="45" t="str">
        <x:v>https://ati.novanta.com/product-category/force-torque-sensors/</x:v>
      </x:c>
      <x:c r="L230" s="45" t="str">
        <x:v>ATI와 모회사 Novanta를 한 행으로 집계</x:v>
      </x:c>
      <x:c r="M230" s="45" t="str">
        <x:v>7장 공급망</x:v>
      </x:c>
    </x:row>
    <x:row r="231" ht="15" hidden="0" customHeight="1">
      <x:c r="A231" s="2"/>
      <x:c r="B231" s="2"/>
      <x:c r="C231" s="45" t="str">
        <x:v>S225</x:v>
      </x:c>
      <x:c r="D231" s="45" t="str">
        <x:v>Orbbec 공식 제품·공시·협력 자료</x:v>
      </x:c>
      <x:c r="E231" s="45" t="str">
        <x:v>Orbbec 또는 공개 계약 상대방</x:v>
      </x:c>
      <x:c r="F231" s="49" t="str">
        <x:v>미확인</x:v>
      </x:c>
      <x:c r="G231" s="49" t="n">
        <x:v>46282</x:v>
      </x:c>
      <x:c r="H231" s="45" t="str">
        <x:v>원문</x:v>
      </x:c>
      <x:c r="I231" s="45" t="str">
        <x:v>기업 1차자료</x:v>
      </x:c>
      <x:c r="J231" s="45" t="str">
        <x:v>3D카메라·기체 없는 데이터 수집·로봇 위탁제조</x:v>
      </x:c>
      <x:c r="K231" s="45" t="str">
        <x:v>https://www.orbbec.com/</x:v>
      </x:c>
      <x:c r="L231" s="45" t="str">
        <x:v>Linkerbot 협력과 확정 공급 매출은 별개</x:v>
      </x:c>
      <x:c r="M231" s="45" t="str">
        <x:v>7장 공급망</x:v>
      </x:c>
    </x:row>
    <x:row r="232" ht="15" hidden="0" customHeight="1">
      <x:c r="A232" s="2"/>
      <x:c r="B232" s="2"/>
      <x:c r="C232" s="45" t="str">
        <x:v>S226</x:v>
      </x:c>
      <x:c r="D232" s="45" t="str">
        <x:v>Cognex 공식 제품·공시·협력 자료</x:v>
      </x:c>
      <x:c r="E232" s="45" t="str">
        <x:v>Cognex 또는 공개 계약 상대방</x:v>
      </x:c>
      <x:c r="F232" s="49" t="str">
        <x:v>미확인</x:v>
      </x:c>
      <x:c r="G232" s="49" t="n">
        <x:v>46282</x:v>
      </x:c>
      <x:c r="H232" s="45" t="str">
        <x:v>원문</x:v>
      </x:c>
      <x:c r="I232" s="45" t="str">
        <x:v>기업 1차자료</x:v>
      </x:c>
      <x:c r="J232" s="45" t="str">
        <x:v>로봇 비전 가이드·검사</x:v>
      </x:c>
      <x:c r="K232" s="45" t="str">
        <x:v>https://www.cognex.com/</x:v>
      </x:c>
      <x:c r="L232" s="45" t="str">
        <x:v>휴머노이드 직접 매출 미확인</x:v>
      </x:c>
      <x:c r="M232" s="45" t="str">
        <x:v>7장 공급망</x:v>
      </x:c>
    </x:row>
    <x:row r="233" ht="15" hidden="0" customHeight="1">
      <x:c r="A233" s="2"/>
      <x:c r="B233" s="2"/>
      <x:c r="C233" s="45" t="str">
        <x:v>S227</x:v>
      </x:c>
      <x:c r="D233" s="45" t="str">
        <x:v>Keyence 공식 제품·공시·협력 자료</x:v>
      </x:c>
      <x:c r="E233" s="45" t="str">
        <x:v>Keyence 또는 공개 계약 상대방</x:v>
      </x:c>
      <x:c r="F233" s="49" t="str">
        <x:v>미확인</x:v>
      </x:c>
      <x:c r="G233" s="49" t="n">
        <x:v>46282</x:v>
      </x:c>
      <x:c r="H233" s="45" t="str">
        <x:v>원문</x:v>
      </x:c>
      <x:c r="I233" s="45" t="str">
        <x:v>기업 1차자료</x:v>
      </x:c>
      <x:c r="J233" s="45" t="str">
        <x:v>VS 비전 로봇 가이드·검사 센서</x:v>
      </x:c>
      <x:c r="K233" s="45" t="str">
        <x:v>https://www.keyence.com/</x:v>
      </x:c>
      <x:c r="L233" s="45" t="str">
        <x:v>휴머노이드 직접 매출 미확인</x:v>
      </x:c>
      <x:c r="M233" s="45" t="str">
        <x:v>7장 공급망</x:v>
      </x:c>
    </x:row>
    <x:row r="234" ht="15" hidden="0" customHeight="1">
      <x:c r="A234" s="2"/>
      <x:c r="B234" s="2"/>
      <x:c r="C234" s="45" t="str">
        <x:v>S228</x:v>
      </x:c>
      <x:c r="D234" s="45" t="str">
        <x:v>SICK 공식 제품·공시·협력 자료</x:v>
      </x:c>
      <x:c r="E234" s="45" t="str">
        <x:v>SICK 또는 공개 계약 상대방</x:v>
      </x:c>
      <x:c r="F234" s="49" t="str">
        <x:v>미확인</x:v>
      </x:c>
      <x:c r="G234" s="49" t="n">
        <x:v>46282</x:v>
      </x:c>
      <x:c r="H234" s="45" t="str">
        <x:v>원문</x:v>
      </x:c>
      <x:c r="I234" s="45" t="str">
        <x:v>기업 1차자료</x:v>
      </x:c>
      <x:c r="J234" s="45" t="str">
        <x:v>안전 센서·동적 보호·산업 로봇 협업</x:v>
      </x:c>
      <x:c r="K234" s="45" t="str">
        <x:v>https://www.sick.com/us/en/safe-robotics/s/safe-robotics</x:v>
      </x:c>
      <x:c r="L234" s="45" t="str">
        <x:v>안전 제품 존재와 특정 기체 안전 인증을 구분</x:v>
      </x:c>
      <x:c r="M234" s="45" t="str">
        <x:v>7장 공급망</x:v>
      </x:c>
    </x:row>
    <x:row r="235" ht="15" hidden="0" customHeight="1">
      <x:c r="A235" s="2"/>
      <x:c r="B235" s="2"/>
      <x:c r="C235" s="45" t="str">
        <x:v>S229</x:v>
      </x:c>
      <x:c r="D235" s="45" t="str">
        <x:v>Renishaw 공식 제품·공시·협력 자료</x:v>
      </x:c>
      <x:c r="E235" s="45" t="str">
        <x:v>Renishaw 또는 공개 계약 상대방</x:v>
      </x:c>
      <x:c r="F235" s="49" t="str">
        <x:v>미확인</x:v>
      </x:c>
      <x:c r="G235" s="49" t="n">
        <x:v>46282</x:v>
      </x:c>
      <x:c r="H235" s="45" t="str">
        <x:v>원문</x:v>
      </x:c>
      <x:c r="I235" s="45" t="str">
        <x:v>기업 1차자료</x:v>
      </x:c>
      <x:c r="J235" s="45" t="str">
        <x:v>로봇용 위치 피드백·광학 및 자기식 인코더</x:v>
      </x:c>
      <x:c r="K235" s="45" t="str">
        <x:v>https://info.renishaw.com/Encoders-Robotics</x:v>
      </x:c>
      <x:c r="L235" s="45" t="str">
        <x:v>휴머노이드 지정 고객·수량 미확인</x:v>
      </x:c>
      <x:c r="M235" s="45" t="str">
        <x:v>7장 공급망</x:v>
      </x:c>
    </x:row>
    <x:row r="236" ht="15" hidden="0" customHeight="1">
      <x:c r="A236" s="2"/>
      <x:c r="B236" s="2"/>
      <x:c r="C236" s="45" t="str">
        <x:v>S230</x:v>
      </x:c>
      <x:c r="D236" s="45" t="str">
        <x:v>NVIDIA 공식 제품·공시·협력 자료</x:v>
      </x:c>
      <x:c r="E236" s="45" t="str">
        <x:v>NVIDIA 또는 공개 계약 상대방</x:v>
      </x:c>
      <x:c r="F236" s="49" t="str">
        <x:v>미확인</x:v>
      </x:c>
      <x:c r="G236" s="49" t="n">
        <x:v>46282</x:v>
      </x:c>
      <x:c r="H236" s="45" t="str">
        <x:v>원문</x:v>
      </x:c>
      <x:c r="I236" s="45" t="str">
        <x:v>기업 1차자료</x:v>
      </x:c>
      <x:c r="J236" s="45" t="str">
        <x:v>Jetson·Isaac·GR00T·Unitree/Sharpa 기준설계</x:v>
      </x:c>
      <x:c r="K236" s="45" t="str">
        <x:v>https://investor.nvidia.com/news/press-release-details/2026/NVIDIA-Announces-Financial-Results-for-Second-Quarter-Fiscal-2027/default.aspx</x:v>
      </x:c>
      <x:c r="L236" s="45" t="str">
        <x:v>전체 AI 매출을 휴머노이드 노출로 계산하지 않음</x:v>
      </x:c>
      <x:c r="M236" s="45" t="str">
        <x:v>7장 공급망</x:v>
      </x:c>
    </x:row>
    <x:row r="237" ht="15" hidden="0" customHeight="1">
      <x:c r="A237" s="2"/>
      <x:c r="B237" s="2"/>
      <x:c r="C237" s="45" t="str">
        <x:v>S231</x:v>
      </x:c>
      <x:c r="D237" s="45" t="str">
        <x:v>Qualcomm 공식 제품·공시·협력 자료</x:v>
      </x:c>
      <x:c r="E237" s="45" t="str">
        <x:v>Qualcomm 또는 공개 계약 상대방</x:v>
      </x:c>
      <x:c r="F237" s="49" t="str">
        <x:v>미확인</x:v>
      </x:c>
      <x:c r="G237" s="49" t="n">
        <x:v>46282</x:v>
      </x:c>
      <x:c r="H237" s="45" t="str">
        <x:v>원문</x:v>
      </x:c>
      <x:c r="I237" s="45" t="str">
        <x:v>기업 1차자료</x:v>
      </x:c>
      <x:c r="J237" s="45" t="str">
        <x:v>Dragonwing IQ10 등 로봇 컴퓨팅</x:v>
      </x:c>
      <x:c r="K237" s="45" t="str">
        <x:v>https://www.qualcomm.com/</x:v>
      </x:c>
      <x:c r="L237" s="45" t="str">
        <x:v>파트너십·설계채택·양산 매출 구분</x:v>
      </x:c>
      <x:c r="M237" s="45" t="str">
        <x:v>7장 공급망</x:v>
      </x:c>
    </x:row>
    <x:row r="238" ht="15" hidden="0" customHeight="1">
      <x:c r="A238" s="2"/>
      <x:c r="B238" s="2"/>
      <x:c r="C238" s="45" t="str">
        <x:v>S232</x:v>
      </x:c>
      <x:c r="D238" s="45" t="str">
        <x:v>Intel 공식 제품·공시·협력 자료</x:v>
      </x:c>
      <x:c r="E238" s="45" t="str">
        <x:v>Intel 또는 공개 계약 상대방</x:v>
      </x:c>
      <x:c r="F238" s="49" t="str">
        <x:v>미확인</x:v>
      </x:c>
      <x:c r="G238" s="49" t="n">
        <x:v>46282</x:v>
      </x:c>
      <x:c r="H238" s="45" t="str">
        <x:v>원문</x:v>
      </x:c>
      <x:c r="I238" s="45" t="str">
        <x:v>기업 1차자료</x:v>
      </x:c>
      <x:c r="J238" s="45" t="str">
        <x:v>Robotics AI Suite·Core Ultra 로봇용 SDK</x:v>
      </x:c>
      <x:c r="K238" s="45" t="str">
        <x:v>https://builders.intel.com/</x:v>
      </x:c>
      <x:c r="L238" s="45" t="str">
        <x:v>과거 Intel Capital 투자를 현재 칩 납품으로 간주하지 않음</x:v>
      </x:c>
      <x:c r="M238" s="45" t="str">
        <x:v>7장 공급망</x:v>
      </x:c>
    </x:row>
    <x:row r="239" ht="15" hidden="0" customHeight="1">
      <x:c r="A239" s="2"/>
      <x:c r="B239" s="2"/>
      <x:c r="C239" s="45" t="str">
        <x:v>S233</x:v>
      </x:c>
      <x:c r="D239" s="45" t="str">
        <x:v>AMD 공식 제품·공시·협력 자료</x:v>
      </x:c>
      <x:c r="E239" s="45" t="str">
        <x:v>AMD 또는 공개 계약 상대방</x:v>
      </x:c>
      <x:c r="F239" s="49" t="str">
        <x:v>미확인</x:v>
      </x:c>
      <x:c r="G239" s="49" t="n">
        <x:v>46282</x:v>
      </x:c>
      <x:c r="H239" s="45" t="str">
        <x:v>원문</x:v>
      </x:c>
      <x:c r="I239" s="45" t="str">
        <x:v>기업 1차자료</x:v>
      </x:c>
      <x:c r="J239" s="45" t="str">
        <x:v>Kria 로봇 개발·실시간 제어</x:v>
      </x:c>
      <x:c r="K239" s="45" t="str">
        <x:v>https://www.amd.com/</x:v>
      </x:c>
      <x:c r="L239" s="45" t="str">
        <x:v>휴머노이드 특정 매출 미확인</x:v>
      </x:c>
      <x:c r="M239" s="45" t="str">
        <x:v>7장 공급망</x:v>
      </x:c>
    </x:row>
    <x:row r="240" ht="15" hidden="0" customHeight="1">
      <x:c r="A240" s="2"/>
      <x:c r="B240" s="2"/>
      <x:c r="C240" s="45" t="str">
        <x:v>S234</x:v>
      </x:c>
      <x:c r="D240" s="45" t="str">
        <x:v>Infineon 공식 제품·공시·협력 자료</x:v>
      </x:c>
      <x:c r="E240" s="45" t="str">
        <x:v>Infineon 또는 공개 계약 상대방</x:v>
      </x:c>
      <x:c r="F240" s="49" t="str">
        <x:v>미확인</x:v>
      </x:c>
      <x:c r="G240" s="49" t="n">
        <x:v>46282</x:v>
      </x:c>
      <x:c r="H240" s="45" t="str">
        <x:v>원문</x:v>
      </x:c>
      <x:c r="I240" s="45" t="str">
        <x:v>기업 1차자료</x:v>
      </x:c>
      <x:c r="J240" s="45" t="str">
        <x:v>로봇 센싱·제어·전력 반도체와 NVIDIA 생태계</x:v>
      </x:c>
      <x:c r="K240" s="45" t="str">
        <x:v>https://www.infineon.com/</x:v>
      </x:c>
      <x:c r="L240" s="45" t="str">
        <x:v>자동차·산업 전력 본업과 로봇을 분리</x:v>
      </x:c>
      <x:c r="M240" s="45" t="str">
        <x:v>7장 공급망</x:v>
      </x:c>
    </x:row>
    <x:row r="241" ht="15" hidden="0" customHeight="1">
      <x:c r="A241" s="2"/>
      <x:c r="B241" s="2"/>
      <x:c r="C241" s="45" t="str">
        <x:v>S235</x:v>
      </x:c>
      <x:c r="D241" s="45" t="str">
        <x:v>Texas Instruments 공식 제품·공시·협력 자료</x:v>
      </x:c>
      <x:c r="E241" s="45" t="str">
        <x:v>Texas Instruments 또는 공개 계약 상대방</x:v>
      </x:c>
      <x:c r="F241" s="49" t="str">
        <x:v>미확인</x:v>
      </x:c>
      <x:c r="G241" s="49" t="n">
        <x:v>46282</x:v>
      </x:c>
      <x:c r="H241" s="45" t="str">
        <x:v>원문</x:v>
      </x:c>
      <x:c r="I241" s="45" t="str">
        <x:v>기업 1차자료</x:v>
      </x:c>
      <x:c r="J241" s="45" t="str">
        <x:v>로봇 제어·센싱·전력·통신 반도체</x:v>
      </x:c>
      <x:c r="K241" s="45" t="str">
        <x:v>https://www.ti.com/applications/industrial/robotics/overview.html</x:v>
      </x:c>
      <x:c r="L241" s="45" t="str">
        <x:v>특정 OEM 공급·시장점유율 미확인</x:v>
      </x:c>
      <x:c r="M241" s="45" t="str">
        <x:v>7장 공급망</x:v>
      </x:c>
    </x:row>
    <x:row r="242" ht="15" hidden="0" customHeight="1">
      <x:c r="A242" s="2"/>
      <x:c r="B242" s="2"/>
      <x:c r="C242" s="45" t="str">
        <x:v>S236</x:v>
      </x:c>
      <x:c r="D242" s="45" t="str">
        <x:v>Delta Electronics 공식 제품·공시·협력 자료</x:v>
      </x:c>
      <x:c r="E242" s="45" t="str">
        <x:v>Delta Electronics 또는 공개 계약 상대방</x:v>
      </x:c>
      <x:c r="F242" s="49" t="str">
        <x:v>미확인</x:v>
      </x:c>
      <x:c r="G242" s="49" t="n">
        <x:v>46282</x:v>
      </x:c>
      <x:c r="H242" s="45" t="str">
        <x:v>원문</x:v>
      </x:c>
      <x:c r="I242" s="45" t="str">
        <x:v>기업 1차자료</x:v>
      </x:c>
      <x:c r="J242" s="45" t="str">
        <x:v>전원·열관리·서보·산업 자동화</x:v>
      </x:c>
      <x:c r="K242" s="45" t="str">
        <x:v>https://www.deltaww.com/en-US/index</x:v>
      </x:c>
      <x:c r="L242" s="45" t="str">
        <x:v>데이터센터 전원 매출을 로봇 매출로 전용하지 않음</x:v>
      </x:c>
      <x:c r="M242" s="45" t="str">
        <x:v>7장 공급망</x:v>
      </x:c>
    </x:row>
    <x:row r="243" ht="15" hidden="0" customHeight="1">
      <x:c r="A243" s="2"/>
      <x:c r="B243" s="2"/>
      <x:c r="C243" s="45" t="str">
        <x:v>S237</x:v>
      </x:c>
      <x:c r="D243" s="45" t="str">
        <x:v>Delta Electronics 공식 제품·공시·협력 자료</x:v>
      </x:c>
      <x:c r="E243" s="45" t="str">
        <x:v>Delta Electronics 또는 공개 계약 상대방</x:v>
      </x:c>
      <x:c r="F243" s="49" t="str">
        <x:v>미확인</x:v>
      </x:c>
      <x:c r="G243" s="49" t="n">
        <x:v>46282</x:v>
      </x:c>
      <x:c r="H243" s="45" t="str">
        <x:v>원문</x:v>
      </x:c>
      <x:c r="I243" s="45" t="str">
        <x:v>기업 1차자료</x:v>
      </x:c>
      <x:c r="J243" s="45" t="str">
        <x:v>전원·열관리·서보·산업 자동화</x:v>
      </x:c>
      <x:c r="K243" s="45" t="str">
        <x:v>https://www.deltaww.com/en-US/investors/analyst-meeting</x:v>
      </x:c>
      <x:c r="L243" s="45" t="str">
        <x:v>데이터센터 전원 매출을 로봇 매출로 전용하지 않음</x:v>
      </x:c>
      <x:c r="M243" s="45" t="str">
        <x:v>7장 공급망</x:v>
      </x:c>
    </x:row>
    <x:row r="244" ht="15" hidden="0" customHeight="1">
      <x:c r="A244" s="2"/>
      <x:c r="B244" s="2"/>
      <x:c r="C244" s="45" t="str">
        <x:v>S238</x:v>
      </x:c>
      <x:c r="D244" s="45" t="str">
        <x:v>EVE Energy 공식 제품·공시·협력 자료</x:v>
      </x:c>
      <x:c r="E244" s="45" t="str">
        <x:v>EVE Energy 또는 공개 계약 상대방</x:v>
      </x:c>
      <x:c r="F244" s="49" t="str">
        <x:v>미확인</x:v>
      </x:c>
      <x:c r="G244" s="49" t="n">
        <x:v>46282</x:v>
      </x:c>
      <x:c r="H244" s="45" t="str">
        <x:v>원문</x:v>
      </x:c>
      <x:c r="I244" s="45" t="str">
        <x:v>기업 1차자료</x:v>
      </x:c>
      <x:c r="J244" s="45" t="str">
        <x:v>로봇 배터리 셀·BMS·팩 통합솔루션</x:v>
      </x:c>
      <x:c r="K244" s="45" t="str">
        <x:v>https://www.evebattery.com/news-962</x:v>
      </x:c>
      <x:c r="L244" s="45" t="str">
        <x:v>셀 에너지밀도와 완성 팩 수치 구분</x:v>
      </x:c>
      <x:c r="M244" s="45" t="str">
        <x:v>7장 공급망</x:v>
      </x:c>
    </x:row>
    <x:row r="245" ht="24" hidden="0" customHeight="1">
      <x:c r="A245" s="2"/>
      <x:c r="B245" s="2"/>
      <x:c r="C245" s="45" t="str">
        <x:v>S239</x:v>
      </x:c>
      <x:c r="D245" s="45" t="str">
        <x:v>Alphabet (Google DeepMind 모회사) 공식 제품·공시·협력 자료</x:v>
      </x:c>
      <x:c r="E245" s="45" t="str">
        <x:v>Alphabet (Google DeepMind 모회사) 또는 공개 계약 상대방</x:v>
      </x:c>
      <x:c r="F245" s="49" t="str">
        <x:v>미확인</x:v>
      </x:c>
      <x:c r="G245" s="49" t="n">
        <x:v>46282</x:v>
      </x:c>
      <x:c r="H245" s="45" t="str">
        <x:v>원문</x:v>
      </x:c>
      <x:c r="I245" s="45" t="str">
        <x:v>기업 1차자료</x:v>
      </x:c>
      <x:c r="J245" s="45" t="str">
        <x:v>Gemini Robotics·MuJoCo·로봇 모델</x:v>
      </x:c>
      <x:c r="K245" s="45" t="str">
        <x:v>https://deepmind.google/blog/gemini-robotics-brings-ai-into-the-physical-world/</x:v>
      </x:c>
      <x:c r="L245" s="45" t="str">
        <x:v>DeepMind·Intrinsic 별도 주식으로 중복 집계하지 않음</x:v>
      </x:c>
      <x:c r="M245" s="45" t="str">
        <x:v>7장 공급망</x:v>
      </x:c>
    </x:row>
    <x:row r="246" ht="24" hidden="0" customHeight="1">
      <x:c r="A246" s="2"/>
      <x:c r="B246" s="2"/>
      <x:c r="C246" s="45" t="str">
        <x:v>S240</x:v>
      </x:c>
      <x:c r="D246" s="45" t="str">
        <x:v>Alphabet (Google DeepMind 모회사) 공식 제품·공시·협력 자료</x:v>
      </x:c>
      <x:c r="E246" s="45" t="str">
        <x:v>Alphabet (Google DeepMind 모회사) 또는 공개 계약 상대방</x:v>
      </x:c>
      <x:c r="F246" s="49" t="str">
        <x:v>미확인</x:v>
      </x:c>
      <x:c r="G246" s="49" t="n">
        <x:v>46282</x:v>
      </x:c>
      <x:c r="H246" s="45" t="str">
        <x:v>원문</x:v>
      </x:c>
      <x:c r="I246" s="45" t="str">
        <x:v>기업 1차자료</x:v>
      </x:c>
      <x:c r="J246" s="45" t="str">
        <x:v>Gemini Robotics·MuJoCo·로봇 모델</x:v>
      </x:c>
      <x:c r="K246" s="45" t="str">
        <x:v>https://abc.xyz/</x:v>
      </x:c>
      <x:c r="L246" s="45" t="str">
        <x:v>DeepMind·Intrinsic 별도 주식으로 중복 집계하지 않음</x:v>
      </x:c>
      <x:c r="M246" s="45" t="str">
        <x:v>7장 공급망</x:v>
      </x:c>
    </x:row>
    <x:row r="247" ht="15" hidden="0" customHeight="1">
      <x:c r="A247" s="2"/>
      <x:c r="B247" s="2"/>
      <x:c r="C247" s="45" t="str">
        <x:v>S241</x:v>
      </x:c>
      <x:c r="D247" s="45" t="str">
        <x:v>Physical Intelligence 공식 제품·공시·협력 자료</x:v>
      </x:c>
      <x:c r="E247" s="45" t="str">
        <x:v>Physical Intelligence 또는 공개 계약 상대방</x:v>
      </x:c>
      <x:c r="F247" s="49" t="str">
        <x:v>미확인</x:v>
      </x:c>
      <x:c r="G247" s="49" t="n">
        <x:v>46282</x:v>
      </x:c>
      <x:c r="H247" s="45" t="str">
        <x:v>원문</x:v>
      </x:c>
      <x:c r="I247" s="45" t="str">
        <x:v>기업 1차자료</x:v>
      </x:c>
      <x:c r="J247" s="45" t="str">
        <x:v>pi 모델군·다기체 학습·실제 작업 파트너</x:v>
      </x:c>
      <x:c r="K247" s="45" t="str">
        <x:v>https://www.pi.website/blog/partner</x:v>
      </x:c>
      <x:c r="L247" s="45" t="str">
        <x:v>논문 성능과 유료 구독 매출 구분</x:v>
      </x:c>
      <x:c r="M247" s="45" t="str">
        <x:v>7장 공급망</x:v>
      </x:c>
    </x:row>
    <x:row r="248" ht="15" hidden="0" customHeight="1">
      <x:c r="A248" s="2"/>
      <x:c r="B248" s="2"/>
      <x:c r="C248" s="45" t="str">
        <x:v>S242</x:v>
      </x:c>
      <x:c r="D248" s="45" t="str">
        <x:v>Physical Intelligence 공식 제품·공시·협력 자료</x:v>
      </x:c>
      <x:c r="E248" s="45" t="str">
        <x:v>Physical Intelligence 또는 공개 계약 상대방</x:v>
      </x:c>
      <x:c r="F248" s="49" t="str">
        <x:v>미확인</x:v>
      </x:c>
      <x:c r="G248" s="49" t="n">
        <x:v>46282</x:v>
      </x:c>
      <x:c r="H248" s="45" t="str">
        <x:v>원문</x:v>
      </x:c>
      <x:c r="I248" s="45" t="str">
        <x:v>기업 1차자료</x:v>
      </x:c>
      <x:c r="J248" s="45" t="str">
        <x:v>pi 모델군·다기체 학습·실제 작업 파트너</x:v>
      </x:c>
      <x:c r="K248" s="45" t="str">
        <x:v>https://www.pi.website/</x:v>
      </x:c>
      <x:c r="L248" s="45" t="str">
        <x:v>논문 성능과 유료 구독 매출 구분</x:v>
      </x:c>
      <x:c r="M248" s="45" t="str">
        <x:v>7장 공급망</x:v>
      </x:c>
    </x:row>
    <x:row r="249" ht="15" hidden="0" customHeight="1">
      <x:c r="A249" s="2"/>
      <x:c r="B249" s="2"/>
      <x:c r="C249" s="45" t="str">
        <x:v>S243</x:v>
      </x:c>
      <x:c r="D249" s="45" t="str">
        <x:v>Skild AI 공식 제품·공시·협력 자료</x:v>
      </x:c>
      <x:c r="E249" s="45" t="str">
        <x:v>Skild AI 또는 공개 계약 상대방</x:v>
      </x:c>
      <x:c r="F249" s="49" t="str">
        <x:v>미확인</x:v>
      </x:c>
      <x:c r="G249" s="49" t="n">
        <x:v>46282</x:v>
      </x:c>
      <x:c r="H249" s="45" t="str">
        <x:v>원문</x:v>
      </x:c>
      <x:c r="I249" s="45" t="str">
        <x:v>기업 1차자료</x:v>
      </x:c>
      <x:c r="J249" s="45" t="str">
        <x:v>다기체 공통 지능·모바일 조작·포장·검사</x:v>
      </x:c>
      <x:c r="K249" s="45" t="str">
        <x:v>https://www.skild.ai/</x:v>
      </x:c>
      <x:c r="L249" s="45" t="str">
        <x:v>영상 일반화가 현장 SLA를 입증하지 않음</x:v>
      </x:c>
      <x:c r="M249" s="45" t="str">
        <x:v>7장 공급망</x:v>
      </x:c>
    </x:row>
    <x:row r="250" ht="15" hidden="0" customHeight="1">
      <x:c r="A250" s="2"/>
      <x:c r="B250" s="2"/>
      <x:c r="C250" s="45" t="str">
        <x:v>S244</x:v>
      </x:c>
      <x:c r="D250" s="45" t="str">
        <x:v>Hugging Face 공식 제품·공시·협력 자료</x:v>
      </x:c>
      <x:c r="E250" s="45" t="str">
        <x:v>Hugging Face 또는 공개 계약 상대방</x:v>
      </x:c>
      <x:c r="F250" s="49" t="str">
        <x:v>미확인</x:v>
      </x:c>
      <x:c r="G250" s="49" t="n">
        <x:v>46282</x:v>
      </x:c>
      <x:c r="H250" s="45" t="str">
        <x:v>원문</x:v>
      </x:c>
      <x:c r="I250" s="45" t="str">
        <x:v>기업 1차자료</x:v>
      </x:c>
      <x:c r="J250" s="45" t="str">
        <x:v>LeRobot 데이터·모방/RL 모델·도구</x:v>
      </x:c>
      <x:c r="K250" s="45" t="str">
        <x:v>https://huggingface.co/lerobot</x:v>
      </x:c>
      <x:c r="L250" s="45" t="str">
        <x:v>LeRobot 커뮤니티와 법인 매출을 동일시하지 않음</x:v>
      </x:c>
      <x:c r="M250" s="45" t="str">
        <x:v>7장 공급망</x:v>
      </x:c>
    </x:row>
    <x:row r="251" ht="15" hidden="0" customHeight="1">
      <x:c r="A251" s="2"/>
      <x:c r="B251" s="2"/>
      <x:c r="C251" s="45" t="str">
        <x:v>S245</x:v>
      </x:c>
      <x:c r="D251" s="45" t="str">
        <x:v>Dassault Systèmes 공식 제품·공시·협력 자료</x:v>
      </x:c>
      <x:c r="E251" s="45" t="str">
        <x:v>Dassault Systèmes 또는 공개 계약 상대방</x:v>
      </x:c>
      <x:c r="F251" s="49" t="str">
        <x:v>미확인</x:v>
      </x:c>
      <x:c r="G251" s="49" t="n">
        <x:v>46282</x:v>
      </x:c>
      <x:c r="H251" s="45" t="str">
        <x:v>원문</x:v>
      </x:c>
      <x:c r="I251" s="45" t="str">
        <x:v>기업 1차자료</x:v>
      </x:c>
      <x:c r="J251" s="45" t="str">
        <x:v>DELMIA·디지털 제조·로봇 시뮬레이션</x:v>
      </x:c>
      <x:c r="K251" s="45" t="str">
        <x:v>https://www.3ds.com/</x:v>
      </x:c>
      <x:c r="L251" s="45" t="str">
        <x:v>일반 CAD/PLM 매출을 휴머노이드 매출로 계산하지 않음</x:v>
      </x:c>
      <x:c r="M251" s="45" t="str">
        <x:v>7장 공급망</x:v>
      </x:c>
    </x:row>
    <x:row r="252" ht="15" hidden="0" customHeight="1">
      <x:c r="A252" s="2"/>
      <x:c r="B252" s="2"/>
      <x:c r="C252" s="45" t="str">
        <x:v>S246</x:v>
      </x:c>
      <x:c r="D252" s="45" t="str">
        <x:v>Generalist AI 공식 제품·공시·협력 자료</x:v>
      </x:c>
      <x:c r="E252" s="45" t="str">
        <x:v>Generalist AI 또는 공개 계약 상대방</x:v>
      </x:c>
      <x:c r="F252" s="49" t="str">
        <x:v>미확인</x:v>
      </x:c>
      <x:c r="G252" s="49" t="n">
        <x:v>46282</x:v>
      </x:c>
      <x:c r="H252" s="45" t="str">
        <x:v>원문</x:v>
      </x:c>
      <x:c r="I252" s="45" t="str">
        <x:v>기업 1차자료</x:v>
      </x:c>
      <x:c r="J252" s="45" t="str">
        <x:v>GEN 계열·여러 말단도구 간 전이</x:v>
      </x:c>
      <x:c r="K252" s="45" t="str">
        <x:v>https://generalistai.com/</x:v>
      </x:c>
      <x:c r="L252" s="45" t="str">
        <x:v>모델 성능 주장과 독립 고객 KPI 구분</x:v>
      </x:c>
      <x:c r="M252" s="45" t="str">
        <x:v>7장 공급망</x:v>
      </x:c>
    </x:row>
    <x:row r="253" ht="15" hidden="0" customHeight="1">
      <x:c r="A253" s="2"/>
      <x:c r="B253" s="2"/>
      <x:c r="C253" s="45" t="str">
        <x:v>S247</x:v>
      </x:c>
      <x:c r="D253" s="45" t="str">
        <x:v>Genesis AI 공식 제품·공시·협력 자료</x:v>
      </x:c>
      <x:c r="E253" s="45" t="str">
        <x:v>Genesis AI 또는 공개 계약 상대방</x:v>
      </x:c>
      <x:c r="F253" s="49" t="str">
        <x:v>미확인</x:v>
      </x:c>
      <x:c r="G253" s="49" t="n">
        <x:v>46282</x:v>
      </x:c>
      <x:c r="H253" s="45" t="str">
        <x:v>원문</x:v>
      </x:c>
      <x:c r="I253" s="45" t="str">
        <x:v>기업 1차자료</x:v>
      </x:c>
      <x:c r="J253" s="45" t="str">
        <x:v>Physical AI와 Eno 고객 배치 계획</x:v>
      </x:c>
      <x:c r="K253" s="45" t="str">
        <x:v>https://www.genesis.ai/</x:v>
      </x:c>
      <x:c r="L253" s="45" t="str">
        <x:v>2026년 말 배치 계획은 기준일 운영 실적 아님</x:v>
      </x:c>
      <x:c r="M253" s="45" t="str">
        <x:v>7장 공급망</x:v>
      </x:c>
    </x:row>
    <x:row r="254" ht="15" hidden="0" customHeight="1">
      <x:c r="A254" s="2"/>
      <x:c r="B254" s="2"/>
      <x:c r="C254" s="45" t="str">
        <x:v>S248</x:v>
      </x:c>
      <x:c r="D254" s="45" t="str">
        <x:v>Jabil 공식 제품·공시·협력 자료</x:v>
      </x:c>
      <x:c r="E254" s="45" t="str">
        <x:v>Jabil 또는 공개 계약 상대방</x:v>
      </x:c>
      <x:c r="F254" s="49" t="str">
        <x:v>미확인</x:v>
      </x:c>
      <x:c r="G254" s="49" t="n">
        <x:v>46282</x:v>
      </x:c>
      <x:c r="H254" s="45" t="str">
        <x:v>원문</x:v>
      </x:c>
      <x:c r="I254" s="45" t="str">
        <x:v>기업 1차자료</x:v>
      </x:c>
      <x:c r="J254" s="45" t="str">
        <x:v>Apollo 제조·자사 공장 적용</x:v>
      </x:c>
      <x:c r="K254" s="45" t="str">
        <x:v>https://investors.jabil.com/overview/default.aspx</x:v>
      </x:c>
      <x:c r="L254" s="45" t="str">
        <x:v>부품 조달 통과매출과 부가가치 구분</x:v>
      </x:c>
      <x:c r="M254" s="45" t="str">
        <x:v>7장 공급망</x:v>
      </x:c>
    </x:row>
    <x:row r="255" ht="15" hidden="0" customHeight="1">
      <x:c r="A255" s="2"/>
      <x:c r="B255" s="2"/>
      <x:c r="C255" s="45" t="str">
        <x:v>S249</x:v>
      </x:c>
      <x:c r="D255" s="45" t="str">
        <x:v>Flex 공식 제품·공시·협력 자료</x:v>
      </x:c>
      <x:c r="E255" s="45" t="str">
        <x:v>Flex 또는 공개 계약 상대방</x:v>
      </x:c>
      <x:c r="F255" s="49" t="str">
        <x:v>미확인</x:v>
      </x:c>
      <x:c r="G255" s="49" t="n">
        <x:v>46282</x:v>
      </x:c>
      <x:c r="H255" s="45" t="str">
        <x:v>원문</x:v>
      </x:c>
      <x:c r="I255" s="45" t="str">
        <x:v>기업 1차자료</x:v>
      </x:c>
      <x:c r="J255" s="45" t="str">
        <x:v>위탁 제조·협동로봇·AMR·검사 통합</x:v>
      </x:c>
      <x:c r="K255" s="45" t="str">
        <x:v>https://flex.com/resources/elevate-product-quality-and-efficiency-with-leading-automation-and-robotics-solutions</x:v>
      </x:c>
      <x:c r="L255" s="45" t="str">
        <x:v>휴머노이드 특정 제조 계약 미확인</x:v>
      </x:c>
      <x:c r="M255" s="45" t="str">
        <x:v>7장 공급망</x:v>
      </x:c>
    </x:row>
    <x:row r="256" ht="15" hidden="0" customHeight="1">
      <x:c r="A256" s="2"/>
      <x:c r="B256" s="2"/>
      <x:c r="C256" s="45" t="str">
        <x:v>S250</x:v>
      </x:c>
      <x:c r="D256" s="45" t="str">
        <x:v>Accenture 공식 제품·공시·협력 자료</x:v>
      </x:c>
      <x:c r="E256" s="45" t="str">
        <x:v>Accenture 또는 공개 계약 상대방</x:v>
      </x:c>
      <x:c r="F256" s="49" t="str">
        <x:v>미확인</x:v>
      </x:c>
      <x:c r="G256" s="49" t="n">
        <x:v>46282</x:v>
      </x:c>
      <x:c r="H256" s="45" t="str">
        <x:v>원문</x:v>
      </x:c>
      <x:c r="I256" s="45" t="str">
        <x:v>기업 1차자료</x:v>
      </x:c>
      <x:c r="J256" s="45" t="str">
        <x:v>Vodafone·SAP 창고 휴머노이드 실증 통합</x:v>
      </x:c>
      <x:c r="K256" s="45" t="str">
        <x:v>https://newsroom.accenture.com/news/2026/accenture-vodafone-procure-connect-and-sap-pilot-humanoid-robotics-in-warehouse-operations</x:v>
      </x:c>
      <x:c r="L256" s="45" t="str">
        <x:v>투자 지분 가치와 통합 수수료 구분</x:v>
      </x:c>
      <x:c r="M256" s="45" t="str">
        <x:v>7장 공급망</x:v>
      </x:c>
    </x:row>
    <x:row r="257" ht="15" hidden="0" customHeight="1">
      <x:c r="A257" s="2"/>
      <x:c r="B257" s="2"/>
      <x:c r="C257" s="45" t="str">
        <x:v>S251</x:v>
      </x:c>
      <x:c r="D257" s="45" t="str">
        <x:v>Capgemini 공식 제품·공시·협력 자료</x:v>
      </x:c>
      <x:c r="E257" s="45" t="str">
        <x:v>Capgemini 또는 공개 계약 상대방</x:v>
      </x:c>
      <x:c r="F257" s="49" t="str">
        <x:v>미확인</x:v>
      </x:c>
      <x:c r="G257" s="49" t="n">
        <x:v>46282</x:v>
      </x:c>
      <x:c r="H257" s="45" t="str">
        <x:v>원문</x:v>
      </x:c>
      <x:c r="I257" s="45" t="str">
        <x:v>기업 1차자료</x:v>
      </x:c>
      <x:c r="J257" s="45" t="str">
        <x:v>Orano Hoxo 핵산업 현장 통합</x:v>
      </x:c>
      <x:c r="K257" s="45" t="str">
        <x:v>https://www.capgemini.com/news/press-releases/capgemini-and-orano-deploy-the-first-intelligent-humanoid-robot-in-the-nuclear-sector/</x:v>
      </x:c>
      <x:c r="L257" s="45" t="str">
        <x:v>현장별 안전·통합 범위를 별도 확인</x:v>
      </x:c>
      <x:c r="M257" s="45" t="str">
        <x:v>7장 공급망</x:v>
      </x:c>
    </x:row>
    <x:row r="258" ht="15" hidden="0" customHeight="1">
      <x:c r="A258" s="2"/>
      <x:c r="B258" s="2"/>
      <x:c r="C258" s="45" t="str">
        <x:v>S252</x:v>
      </x:c>
      <x:c r="D258" s="45" t="str">
        <x:v>BMW 공식 제품·공시·협력 자료</x:v>
      </x:c>
      <x:c r="E258" s="45" t="str">
        <x:v>BMW 또는 공개 계약 상대방</x:v>
      </x:c>
      <x:c r="F258" s="49" t="str">
        <x:v>미확인</x:v>
      </x:c>
      <x:c r="G258" s="49" t="n">
        <x:v>46282</x:v>
      </x:c>
      <x:c r="H258" s="45" t="str">
        <x:v>원문</x:v>
      </x:c>
      <x:c r="I258" s="45" t="str">
        <x:v>기업 1차자료</x:v>
      </x:c>
      <x:c r="J258" s="45" t="str">
        <x:v>Figure·Hexagon 생산현장 사례</x:v>
      </x:c>
      <x:c r="K258" s="45" t="str">
        <x:v>https://www.bmwgroup.com/en/investor-relations/bmw-shares.html</x:v>
      </x:c>
      <x:c r="L258" s="45" t="str">
        <x:v>수행 차량 수는 로봇 판매 수량 아님</x:v>
      </x:c>
      <x:c r="M258" s="45" t="str">
        <x:v>7장 공급망</x:v>
      </x:c>
    </x:row>
    <x:row r="259" ht="15" hidden="0" customHeight="1">
      <x:c r="A259" s="2"/>
      <x:c r="B259" s="2"/>
      <x:c r="C259" s="45" t="str">
        <x:v>S253</x:v>
      </x:c>
      <x:c r="D259" s="45" t="str">
        <x:v>Mercedes-Benz Group 공식 제품·공시·협력 자료</x:v>
      </x:c>
      <x:c r="E259" s="45" t="str">
        <x:v>Mercedes-Benz Group 또는 공개 계약 상대방</x:v>
      </x:c>
      <x:c r="F259" s="49" t="str">
        <x:v>미확인</x:v>
      </x:c>
      <x:c r="G259" s="49" t="n">
        <x:v>46282</x:v>
      </x:c>
      <x:c r="H259" s="45" t="str">
        <x:v>원문</x:v>
      </x:c>
      <x:c r="I259" s="45" t="str">
        <x:v>기업 1차자료</x:v>
      </x:c>
      <x:c r="J259" s="45" t="str">
        <x:v>Apollo 제조 현장 시험</x:v>
      </x:c>
      <x:c r="K259" s="45" t="str">
        <x:v>https://group.mercedes-benz.com/investors/share/</x:v>
      </x:c>
      <x:c r="L259" s="45" t="str">
        <x:v>투자와 구매 계약을 구분</x:v>
      </x:c>
      <x:c r="M259" s="45" t="str">
        <x:v>7장 공급망</x:v>
      </x:c>
    </x:row>
    <x:row r="260" ht="15" hidden="0" customHeight="1">
      <x:c r="A260" s="2"/>
      <x:c r="B260" s="2"/>
      <x:c r="C260" s="45" t="str">
        <x:v>S254</x:v>
      </x:c>
      <x:c r="D260" s="45" t="str">
        <x:v>Amazon 공식 제품·공시·협력 자료</x:v>
      </x:c>
      <x:c r="E260" s="45" t="str">
        <x:v>Amazon 또는 공개 계약 상대방</x:v>
      </x:c>
      <x:c r="F260" s="49" t="str">
        <x:v>미확인</x:v>
      </x:c>
      <x:c r="G260" s="49" t="n">
        <x:v>46282</x:v>
      </x:c>
      <x:c r="H260" s="45" t="str">
        <x:v>원문</x:v>
      </x:c>
      <x:c r="I260" s="45" t="str">
        <x:v>기업 1차자료</x:v>
      </x:c>
      <x:c r="J260" s="45" t="str">
        <x:v>Digit 시험·기존 로봇 자동화 대안</x:v>
      </x:c>
      <x:c r="K260" s="45" t="str">
        <x:v>https://www.aboutamazon.com/news/operations/amazon-introduces-new-robotics-solutions</x:v>
      </x:c>
      <x:c r="L260" s="45" t="str">
        <x:v>전체 로봇 대수를 휴머노이드 대수로 계산하지 않음</x:v>
      </x:c>
      <x:c r="M260" s="45" t="str">
        <x:v>7장 공급망</x:v>
      </x:c>
    </x:row>
    <x:row r="261" ht="15" hidden="0" customHeight="1">
      <x:c r="A261" s="2"/>
      <x:c r="B261" s="2"/>
      <x:c r="C261" s="45" t="str">
        <x:v>S255</x:v>
      </x:c>
      <x:c r="D261" s="45" t="str">
        <x:v>Amazon 공식 제품·공시·협력 자료</x:v>
      </x:c>
      <x:c r="E261" s="45" t="str">
        <x:v>Amazon 또는 공개 계약 상대방</x:v>
      </x:c>
      <x:c r="F261" s="49" t="str">
        <x:v>미확인</x:v>
      </x:c>
      <x:c r="G261" s="49" t="n">
        <x:v>46282</x:v>
      </x:c>
      <x:c r="H261" s="45" t="str">
        <x:v>원문</x:v>
      </x:c>
      <x:c r="I261" s="45" t="str">
        <x:v>기업 1차자료</x:v>
      </x:c>
      <x:c r="J261" s="45" t="str">
        <x:v>Digit 시험·기존 로봇 자동화 대안</x:v>
      </x:c>
      <x:c r="K261" s="45" t="str">
        <x:v>https://ir.aboutamazon.com/news-release/news-release-details/2026/Amazon-com-Announces-Second-Quarter-Results/</x:v>
      </x:c>
      <x:c r="L261" s="45" t="str">
        <x:v>전체 로봇 대수를 휴머노이드 대수로 계산하지 않음</x:v>
      </x:c>
      <x:c r="M261" s="45" t="str">
        <x:v>7장 공급망</x:v>
      </x:c>
    </x:row>
    <x:row r="262" ht="15" hidden="0" customHeight="1">
      <x:c r="A262" s="2"/>
      <x:c r="B262" s="2"/>
      <x:c r="C262" s="45" t="str">
        <x:v>S256</x:v>
      </x:c>
      <x:c r="D262" s="45" t="str">
        <x:v>DHL Group 공식 제품·공시·협력 자료</x:v>
      </x:c>
      <x:c r="E262" s="45" t="str">
        <x:v>DHL Group 또는 공개 계약 상대방</x:v>
      </x:c>
      <x:c r="F262" s="49" t="str">
        <x:v>미확인</x:v>
      </x:c>
      <x:c r="G262" s="49" t="n">
        <x:v>46282</x:v>
      </x:c>
      <x:c r="H262" s="45" t="str">
        <x:v>원문</x:v>
      </x:c>
      <x:c r="I262" s="45" t="str">
        <x:v>기업 1차자료</x:v>
      </x:c>
      <x:c r="J262" s="45" t="str">
        <x:v>Stretch·모바일 로봇 물류 적용</x:v>
      </x:c>
      <x:c r="K262" s="45" t="str">
        <x:v>https://www.dhl.com/</x:v>
      </x:c>
      <x:c r="L262" s="45" t="str">
        <x:v>이 행은 대안 자동화 수요자; 휴머노이드 유상고객 확정 아님</x:v>
      </x:c>
      <x:c r="M262" s="45" t="str">
        <x:v>7장 공급망</x:v>
      </x:c>
    </x:row>
    <x:row r="263" ht="15" hidden="0" customHeight="1">
      <x:c r="A263" s="2"/>
      <x:c r="B263" s="2"/>
      <x:c r="C263" s="45" t="str">
        <x:v>S257</x:v>
      </x:c>
      <x:c r="D263" s="45" t="str">
        <x:v>Longcheer 공식 제품·공시·협력 자료</x:v>
      </x:c>
      <x:c r="E263" s="45" t="str">
        <x:v>Longcheer 또는 공개 계약 상대방</x:v>
      </x:c>
      <x:c r="F263" s="49" t="str">
        <x:v>미확인</x:v>
      </x:c>
      <x:c r="G263" s="49" t="n">
        <x:v>46282</x:v>
      </x:c>
      <x:c r="H263" s="45" t="str">
        <x:v>원문</x:v>
      </x:c>
      <x:c r="I263" s="45" t="str">
        <x:v>기업 1차자료</x:v>
      </x:c>
      <x:c r="J263" s="45" t="str">
        <x:v>Longcheer 기업 신원·사업 소개</x:v>
      </x:c>
      <x:c r="K263" s="45" t="str">
        <x:v>https://www.longcheer.com/</x:v>
      </x:c>
      <x:c r="L263" s="45" t="str">
        <x:v>홈페이지 자체는 AGIBOT 현장 결과의 독립 확인 근거가 아님.</x:v>
      </x:c>
      <x:c r="M263" s="45" t="str">
        <x:v>7장 공급망</x:v>
      </x:c>
    </x:row>
    <x:row r="264" ht="15" hidden="0" customHeight="1">
      <x:c r="A264" s="2"/>
      <x:c r="B264" s="2"/>
      <x:c r="C264" s="45" t="str">
        <x:v>S258</x:v>
      </x:c>
      <x:c r="D264" s="45" t="str">
        <x:v>ABB 공식 제품·공시·협력 자료</x:v>
      </x:c>
      <x:c r="E264" s="45" t="str">
        <x:v>ABB 또는 공개 계약 상대방</x:v>
      </x:c>
      <x:c r="F264" s="49" t="str">
        <x:v>미확인</x:v>
      </x:c>
      <x:c r="G264" s="49" t="n">
        <x:v>46282</x:v>
      </x:c>
      <x:c r="H264" s="45" t="str">
        <x:v>원문</x:v>
      </x:c>
      <x:c r="I264" s="45" t="str">
        <x:v>기업 1차자료</x:v>
      </x:c>
      <x:c r="J264" s="45" t="str">
        <x:v>산업용·협동로봇·SoftBank 매각계약 비교</x:v>
      </x:c>
      <x:c r="K264" s="45" t="str">
        <x:v>https://new.abb.com/news/detail/129685/abb-to-divest-robotics-division-to-softbank-group</x:v>
      </x:c>
      <x:c r="L264" s="45" t="str">
        <x:v>거래 종결 전후 상장 ABB의 로봇 노출이 달라짐</x:v>
      </x:c>
      <x:c r="M264" s="45" t="str">
        <x:v>7장 공급망</x:v>
      </x:c>
    </x:row>
    <x:row r="265" ht="15" hidden="0" customHeight="1">
      <x:c r="A265" s="2"/>
      <x:c r="B265" s="2"/>
      <x:c r="C265" s="45" t="str">
        <x:v>S259</x:v>
      </x:c>
      <x:c r="D265" s="45" t="str">
        <x:v>Teradyne 공식 제품·공시·협력 자료</x:v>
      </x:c>
      <x:c r="E265" s="45" t="str">
        <x:v>Teradyne 또는 공개 계약 상대방</x:v>
      </x:c>
      <x:c r="F265" s="49" t="str">
        <x:v>미확인</x:v>
      </x:c>
      <x:c r="G265" s="49" t="n">
        <x:v>46282</x:v>
      </x:c>
      <x:c r="H265" s="45" t="str">
        <x:v>원문</x:v>
      </x:c>
      <x:c r="I265" s="45" t="str">
        <x:v>기업 1차자료</x:v>
      </x:c>
      <x:c r="J265" s="45" t="str">
        <x:v>Universal Robots·MiR 협동·모바일 로봇</x:v>
      </x:c>
      <x:c r="K265" s="45" t="str">
        <x:v>https://investors.teradyne.com/company-information</x:v>
      </x:c>
      <x:c r="L265" s="45" t="str">
        <x:v>UR·MiR는 별도 상장종목으로 집계하지 않음</x:v>
      </x:c>
      <x:c r="M265" s="45" t="str">
        <x:v>7장 공급망</x:v>
      </x:c>
    </x:row>
    <x:row r="266" ht="15" hidden="0" customHeight="1">
      <x:c r="A266" s="2"/>
      <x:c r="B266" s="2"/>
      <x:c r="C266" s="45" t="str">
        <x:v>S260</x:v>
      </x:c>
      <x:c r="D266" s="45" t="str">
        <x:v>FANUC 공식 제품·공시·협력 자료</x:v>
      </x:c>
      <x:c r="E266" s="45" t="str">
        <x:v>FANUC 또는 공개 계약 상대방</x:v>
      </x:c>
      <x:c r="F266" s="49" t="str">
        <x:v>미확인</x:v>
      </x:c>
      <x:c r="G266" s="49" t="n">
        <x:v>46282</x:v>
      </x:c>
      <x:c r="H266" s="45" t="str">
        <x:v>원문</x:v>
      </x:c>
      <x:c r="I266" s="45" t="str">
        <x:v>기업 1차자료</x:v>
      </x:c>
      <x:c r="J266" s="45" t="str">
        <x:v>산업용·협동로봇·ROBOGUIDE·Physical AI</x:v>
      </x:c>
      <x:c r="K266" s="45" t="str">
        <x:v>https://www.fanuc.co.jp/en/product/robot/</x:v>
      </x:c>
      <x:c r="L266" s="45" t="str">
        <x:v>기존 로봇도 AI를 도입하므로 고정 성능의 대안으로 두지 않음</x:v>
      </x:c>
      <x:c r="M266" s="45" t="str">
        <x:v>7장 공급망</x:v>
      </x:c>
    </x:row>
    <x:row r="267" ht="15" hidden="0" customHeight="1">
      <x:c r="A267" s="2"/>
      <x:c r="B267" s="2"/>
      <x:c r="C267" s="45" t="str">
        <x:v>S261</x:v>
      </x:c>
      <x:c r="D267" s="45" t="str">
        <x:v>FANUC 공식 제품·공시·협력 자료</x:v>
      </x:c>
      <x:c r="E267" s="45" t="str">
        <x:v>FANUC 또는 공개 계약 상대방</x:v>
      </x:c>
      <x:c r="F267" s="49" t="str">
        <x:v>미확인</x:v>
      </x:c>
      <x:c r="G267" s="49" t="n">
        <x:v>46282</x:v>
      </x:c>
      <x:c r="H267" s="45" t="str">
        <x:v>원문</x:v>
      </x:c>
      <x:c r="I267" s="45" t="str">
        <x:v>기업 1차자료</x:v>
      </x:c>
      <x:c r="J267" s="45" t="str">
        <x:v>산업용·협동로봇·ROBOGUIDE·Physical AI</x:v>
      </x:c>
      <x:c r="K267" s="45" t="str">
        <x:v>https://www.fanuc.co.jp/en/ir/</x:v>
      </x:c>
      <x:c r="L267" s="45" t="str">
        <x:v>기존 로봇도 AI를 도입하므로 고정 성능의 대안으로 두지 않음</x:v>
      </x:c>
      <x:c r="M267" s="45" t="str">
        <x:v>7장 공급망</x:v>
      </x:c>
    </x:row>
    <x:row r="268" ht="15" hidden="0" customHeight="1">
      <x:c r="A268" s="2"/>
      <x:c r="B268" s="2"/>
      <x:c r="C268" s="45" t="str">
        <x:v>S262</x:v>
      </x:c>
      <x:c r="D268" s="45" t="str">
        <x:v>Yaskawa 공식 제품·공시·협력 자료</x:v>
      </x:c>
      <x:c r="E268" s="45" t="str">
        <x:v>Yaskawa 또는 공개 계약 상대방</x:v>
      </x:c>
      <x:c r="F268" s="49" t="str">
        <x:v>미확인</x:v>
      </x:c>
      <x:c r="G268" s="49" t="n">
        <x:v>46282</x:v>
      </x:c>
      <x:c r="H268" s="45" t="str">
        <x:v>원문</x:v>
      </x:c>
      <x:c r="I268" s="45" t="str">
        <x:v>기업 1차자료</x:v>
      </x:c>
      <x:c r="J268" s="45" t="str">
        <x:v>MOTOMAN·서보·공정 통합</x:v>
      </x:c>
      <x:c r="K268" s="45" t="str">
        <x:v>https://www.yaskawa-global.com/product/robotics</x:v>
      </x:c>
      <x:c r="L268" s="45" t="str">
        <x:v>일반 산업용 로봇 누적출하와 휴머노이드 구분</x:v>
      </x:c>
      <x:c r="M268" s="45" t="str">
        <x:v>7장 공급망</x:v>
      </x:c>
    </x:row>
    <x:row r="269" ht="15" hidden="0" customHeight="1">
      <x:c r="A269" s="2"/>
      <x:c r="B269" s="2"/>
      <x:c r="C269" s="45" t="str">
        <x:v>S263</x:v>
      </x:c>
      <x:c r="D269" s="45" t="str">
        <x:v>KUKA 공식 제품·공시·협력 자료</x:v>
      </x:c>
      <x:c r="E269" s="45" t="str">
        <x:v>KUKA 또는 공개 계약 상대방</x:v>
      </x:c>
      <x:c r="F269" s="49" t="str">
        <x:v>미확인</x:v>
      </x:c>
      <x:c r="G269" s="49" t="n">
        <x:v>46282</x:v>
      </x:c>
      <x:c r="H269" s="45" t="str">
        <x:v>원문</x:v>
      </x:c>
      <x:c r="I269" s="45" t="str">
        <x:v>기업 1차자료</x:v>
      </x:c>
      <x:c r="J269" s="45" t="str">
        <x:v>산업용 로봇·공정별 자동화</x:v>
      </x:c>
      <x:c r="K269" s="45" t="str">
        <x:v>https://www.kuka.com/en-us/products/robotics-systems/industrial-robots</x:v>
      </x:c>
      <x:c r="L269" s="45" t="str">
        <x:v>모회사 Midea 투자 노출은 별도 공시 검증 필요</x:v>
      </x:c>
      <x:c r="M269" s="45" t="str">
        <x:v>7장 공급망</x:v>
      </x:c>
    </x:row>
    <x:row r="270" ht="24" hidden="0" customHeight="1">
      <x:c r="A270" s="2"/>
      <x:c r="B270" s="2"/>
      <x:c r="C270" s="45" t="str">
        <x:v>S264</x:v>
      </x:c>
      <x:c r="D270" s="45" t="str">
        <x:v>Kawasaki Heavy Industries 공식 제품·공시·협력 자료</x:v>
      </x:c>
      <x:c r="E270" s="45" t="str">
        <x:v>Kawasaki Heavy Industries 또는 공개 계약 상대방</x:v>
      </x:c>
      <x:c r="F270" s="49" t="str">
        <x:v>미확인</x:v>
      </x:c>
      <x:c r="G270" s="49" t="n">
        <x:v>46282</x:v>
      </x:c>
      <x:c r="H270" s="45" t="str">
        <x:v>원문</x:v>
      </x:c>
      <x:c r="I270" s="45" t="str">
        <x:v>기업 1차자료</x:v>
      </x:c>
      <x:c r="J270" s="45" t="str">
        <x:v>Kawasaki Robotics 산업용 로봇</x:v>
      </x:c>
      <x:c r="K270" s="45" t="str">
        <x:v>https://kawasakirobotics.com/uk/</x:v>
      </x:c>
      <x:c r="L270" s="45" t="str">
        <x:v>사족 모빌리티를 이족 작업 휴머노이드로 계산하지 않음</x:v>
      </x:c>
      <x:c r="M270" s="45" t="str">
        <x:v>7장 공급망</x:v>
      </x:c>
    </x:row>
    <x:row r="271" ht="15" hidden="0" customHeight="1">
      <x:c r="A271" s="2"/>
      <x:c r="B271" s="2"/>
      <x:c r="C271" s="45" t="str">
        <x:v>S265</x:v>
      </x:c>
      <x:c r="D271" s="45" t="str">
        <x:v>Omron 공식 제품·공시·협력 자료</x:v>
      </x:c>
      <x:c r="E271" s="45" t="str">
        <x:v>Omron 또는 공개 계약 상대방</x:v>
      </x:c>
      <x:c r="F271" s="49" t="str">
        <x:v>미확인</x:v>
      </x:c>
      <x:c r="G271" s="49" t="n">
        <x:v>46282</x:v>
      </x:c>
      <x:c r="H271" s="45" t="str">
        <x:v>원문</x:v>
      </x:c>
      <x:c r="I271" s="45" t="str">
        <x:v>기업 1차자료</x:v>
      </x:c>
      <x:c r="J271" s="45" t="str">
        <x:v>협동·산업·자율이동로봇</x:v>
      </x:c>
      <x:c r="K271" s="45" t="str">
        <x:v>https://robotics.omron.com/</x:v>
      </x:c>
      <x:c r="L271" s="45" t="str">
        <x:v>산업 자동화 시장과 휴머노이드 시장 구분</x:v>
      </x:c>
      <x:c r="M271" s="45" t="str">
        <x:v>7장 공급망</x:v>
      </x:c>
    </x:row>
    <x:row r="272" ht="24" hidden="0" customHeight="1">
      <x:c r="A272" s="2"/>
      <x:c r="B272" s="2"/>
      <x:c r="C272" s="45" t="str">
        <x:v>S266</x:v>
      </x:c>
      <x:c r="D272" s="45" t="str">
        <x:v>General Robotics 공식 제품·공시·협력 자료</x:v>
      </x:c>
      <x:c r="E272" s="45" t="str">
        <x:v>General Robotics 또는 공개 계약 상대방</x:v>
      </x:c>
      <x:c r="F272" s="49" t="str">
        <x:v>미확인</x:v>
      </x:c>
      <x:c r="G272" s="49" t="n">
        <x:v>46282</x:v>
      </x:c>
      <x:c r="H272" s="45" t="str">
        <x:v>원문</x:v>
      </x:c>
      <x:c r="I272" s="45" t="str">
        <x:v>기업 1차자료</x:v>
      </x:c>
      <x:c r="J272" s="45" t="str">
        <x:v>GRID·NVIDIA Isaac Sim·Accenture 산업 적용</x:v>
      </x:c>
      <x:c r="K272" s="45" t="str">
        <x:v>https://newsroom.accenture.com/news/2026/accenture-invests-in-general-robotics-to-advance-physical-ai-powered-robotics-in-manufacturing-and-logistics</x:v>
      </x:c>
      <x:c r="L272" s="45" t="str">
        <x:v>동명 방산기업과 구분; 관련 투자발표의 AI 기업</x:v>
      </x:c>
      <x:c r="M272" s="45" t="str">
        <x:v>7장 공급망</x:v>
      </x:c>
    </x:row>
    <x:row r="273" ht="15" hidden="0" customHeight="1">
      <x:c r="A273" s="2"/>
      <x:c r="B273" s="2"/>
      <x:c r="C273" s="45" t="str">
        <x:v>S267</x:v>
      </x:c>
      <x:c r="D273" s="45" t="str">
        <x:v>PUDU Robotics 공식 제품·공시 자료</x:v>
      </x:c>
      <x:c r="E273" s="45" t="str">
        <x:v>PUDU Robotics</x:v>
      </x:c>
      <x:c r="F273" s="49" t="str">
        <x:v>미확인</x:v>
      </x:c>
      <x:c r="G273" s="49" t="n">
        <x:v>46282</x:v>
      </x:c>
      <x:c r="H273" s="45" t="str">
        <x:v>원문</x:v>
      </x:c>
      <x:c r="I273" s="45" t="str">
        <x:v>기업 1차자료</x:v>
      </x:c>
      <x:c r="J273" s="45" t="str">
        <x:v>체화 AI 제품군과 배달·청소 서비스 로봇 대안</x:v>
      </x:c>
      <x:c r="K273" s="45" t="str">
        <x:v>https://www.pudurobotics.com/en/products?tab=xlab</x:v>
      </x:c>
      <x:c r="L273" s="45" t="str">
        <x:v>배달·청소 기존 사업과 휴머노이드 구분</x:v>
      </x:c>
      <x:c r="M273" s="45" t="str">
        <x:v>7장 공급망</x:v>
      </x:c>
    </x:row>
    <x:row r="274" ht="15" hidden="0" customHeight="1">
      <x:c r="A274" s="2"/>
      <x:c r="B274" s="2"/>
      <x:c r="C274" s="45" t="str">
        <x:v>S268</x:v>
      </x:c>
      <x:c r="D274" s="45" t="str">
        <x:v>Sanhua 공식 제품·공시 자료</x:v>
      </x:c>
      <x:c r="E274" s="45" t="str">
        <x:v>Sanhua</x:v>
      </x:c>
      <x:c r="F274" s="49" t="str">
        <x:v>미확인</x:v>
      </x:c>
      <x:c r="G274" s="49" t="n">
        <x:v>46282</x:v>
      </x:c>
      <x:c r="H274" s="45" t="str">
        <x:v>원문</x:v>
      </x:c>
      <x:c r="I274" s="45" t="str">
        <x:v>기업 1차자료</x:v>
      </x:c>
      <x:c r="J274" s="45" t="str">
        <x:v>정밀 제어·열관리·로봇 액추에이터 조사 후보</x:v>
      </x:c>
      <x:c r="K274" s="45" t="str">
        <x:v>https://www.zjshc.com/investor/index.html</x:v>
      </x:c>
      <x:c r="L274" s="45" t="str">
        <x:v>상장은 2025 연차보고서 p6 확인; 열관리 본업과 로봇 후보를 구분. 이번 열람에서 로봇 공급·주문 근거 미확보.</x:v>
      </x:c>
      <x:c r="M274" s="45" t="str">
        <x:v>7장 공급망</x:v>
      </x:c>
    </x:row>
    <x:row r="275" ht="15" hidden="0" customHeight="1">
      <x:c r="A275" s="2"/>
      <x:c r="B275" s="2"/>
      <x:c r="C275" s="45" t="str">
        <x:v>S269</x:v>
      </x:c>
      <x:c r="D275" s="45" t="str">
        <x:v>Sanhua 공식 제품·공시 자료</x:v>
      </x:c>
      <x:c r="E275" s="45" t="str">
        <x:v>Sanhua</x:v>
      </x:c>
      <x:c r="F275" s="49" t="str">
        <x:v>미확인</x:v>
      </x:c>
      <x:c r="G275" s="49" t="n">
        <x:v>46282</x:v>
      </x:c>
      <x:c r="H275" s="45" t="str">
        <x:v>원문</x:v>
      </x:c>
      <x:c r="I275" s="45" t="str">
        <x:v>기업 1차자료</x:v>
      </x:c>
      <x:c r="J275" s="45" t="str">
        <x:v>상장 티커·법인명·2025 전체 재무; 로봇 납품은 이 자료에서 미확인</x:v>
      </x:c>
      <x:c r="K275" s="45" t="str">
        <x:v>https://www.zjshc.com/upload/img/2026-04/69d60c4be3df7.pdf</x:v>
      </x:c>
      <x:c r="L275" s="45" t="str">
        <x:v>상장은 2025 연차보고서 p6 확인; 열관리 본업과 로봇 후보를 구분. 이번 열람에서 로봇 공급·주문 근거 미확보.</x:v>
      </x:c>
      <x:c r="M275" s="45" t="str">
        <x:v>7장 공급망</x:v>
      </x:c>
    </x:row>
    <x:row r="276" ht="15" hidden="0" customHeight="1">
      <x:c r="A276" s="2"/>
      <x:c r="B276" s="2"/>
      <x:c r="C276" s="45" t="str">
        <x:v>S270</x:v>
      </x:c>
      <x:c r="D276" s="45" t="str">
        <x:v>HDS 적용 분야</x:v>
      </x:c>
      <x:c r="E276" s="45" t="str">
        <x:v>HDS</x:v>
      </x:c>
      <x:c r="F276" s="49" t="str">
        <x:v>미확인</x:v>
      </x:c>
      <x:c r="G276" s="49" t="n">
        <x:v>46282</x:v>
      </x:c>
      <x:c r="H276" s="45" t="str">
        <x:v>원문</x:v>
      </x:c>
      <x:c r="I276" s="45" t="str">
        <x:v>기업 1차자료</x:v>
      </x:c>
      <x:c r="J276" s="45" t="str">
        <x:v>HDS 적용 분야에 관한 본문 사실 진술</x:v>
      </x:c>
      <x:c r="K276" s="45" t="str">
        <x:v>https://www.hds.co.jp/english/company/business/example/</x:v>
      </x:c>
      <x:c r="L276" s="45" t="str">
        <x:v>기술·공급·계획의 확인 범위는 해당 프로파일 참조. 본문의 미래 수익 해석은 작성자 판단이며 공식 전망이 아님.</x:v>
      </x:c>
      <x:c r="M276" s="45" t="str">
        <x:v>7장 공급망</x:v>
      </x:c>
    </x:row>
    <x:row r="277" ht="15" hidden="0" customHeight="1">
      <x:c r="A277" s="2"/>
      <x:c r="B277" s="2"/>
      <x:c r="C277" s="45" t="str">
        <x:v>S271</x:v>
      </x:c>
      <x:c r="D277" s="45" t="str">
        <x:v>BionicM 적용 사례</x:v>
      </x:c>
      <x:c r="E277" s="45" t="str">
        <x:v>BionicM</x:v>
      </x:c>
      <x:c r="F277" s="49" t="str">
        <x:v>미확인</x:v>
      </x:c>
      <x:c r="G277" s="49" t="n">
        <x:v>46282</x:v>
      </x:c>
      <x:c r="H277" s="45" t="str">
        <x:v>원문</x:v>
      </x:c>
      <x:c r="I277" s="45" t="str">
        <x:v>기업 1차자료</x:v>
      </x:c>
      <x:c r="J277" s="45" t="str">
        <x:v>BionicM 적용 사례에 관한 본문 사실 진술</x:v>
      </x:c>
      <x:c r="K277" s="45" t="str">
        <x:v>https://www.thk.com/jp/en/journal/products/article-26062026-1.html</x:v>
      </x:c>
      <x:c r="L277" s="45" t="str">
        <x:v>기술·공급·계획의 확인 범위는 해당 프로파일 참조. 본문의 미래 수익 해석은 작성자 판단이며 공식 전망이 아님.</x:v>
      </x:c>
      <x:c r="M277" s="45" t="str">
        <x:v>7장 공급망</x:v>
      </x:c>
    </x:row>
    <x:row r="278" ht="15" hidden="0" customHeight="1">
      <x:c r="A278" s="2"/>
      <x:c r="B278" s="2"/>
      <x:c r="C278" s="45" t="str">
        <x:v>S272</x:v>
      </x:c>
      <x:c r="D278" s="45" t="str">
        <x:v>Leaderdrive 공식 제품군</x:v>
      </x:c>
      <x:c r="E278" s="45" t="str">
        <x:v>Leaderdrive</x:v>
      </x:c>
      <x:c r="F278" s="49" t="str">
        <x:v>미확인</x:v>
      </x:c>
      <x:c r="G278" s="49" t="n">
        <x:v>46282</x:v>
      </x:c>
      <x:c r="H278" s="45" t="str">
        <x:v>원문</x:v>
      </x:c>
      <x:c r="I278" s="45" t="str">
        <x:v>기업 1차자료</x:v>
      </x:c>
      <x:c r="J278" s="45" t="str">
        <x:v>Leaderdrive 공식 제품군에 관한 본문 사실 진술</x:v>
      </x:c>
      <x:c r="K278" s="45" t="str">
        <x:v>https://www.leaderdrive.com/</x:v>
      </x:c>
      <x:c r="L278" s="45" t="str">
        <x:v>기술·공급·계획의 확인 범위는 해당 프로파일 참조. 본문의 미래 수익 해석은 작성자 판단이며 공식 전망이 아님.</x:v>
      </x:c>
      <x:c r="M278" s="45" t="str">
        <x:v>7장 공급망</x:v>
      </x:c>
    </x:row>
    <x:row r="279" ht="15" hidden="0" customHeight="1">
      <x:c r="A279" s="2"/>
      <x:c r="B279" s="2"/>
      <x:c r="C279" s="45" t="str">
        <x:v>S273</x:v>
      </x:c>
      <x:c r="D279" s="45" t="str">
        <x:v>ATI 힘·토크 센서 소개</x:v>
      </x:c>
      <x:c r="E279" s="45" t="str">
        <x:v>ATI</x:v>
      </x:c>
      <x:c r="F279" s="49" t="str">
        <x:v>미확인</x:v>
      </x:c>
      <x:c r="G279" s="49" t="n">
        <x:v>46282</x:v>
      </x:c>
      <x:c r="H279" s="45" t="str">
        <x:v>원문</x:v>
      </x:c>
      <x:c r="I279" s="45" t="str">
        <x:v>기업 1차자료</x:v>
      </x:c>
      <x:c r="J279" s="45" t="str">
        <x:v>ATI 힘·토크 센서 소개에 관한 본문 사실 진술</x:v>
      </x:c>
      <x:c r="K279" s="45" t="str">
        <x:v>https://ati.novanta.com/products/force-torque-sensors/</x:v>
      </x:c>
      <x:c r="L279" s="45" t="str">
        <x:v>기술·공급·계획의 확인 범위는 해당 프로파일 참조. 본문의 미래 수익 해석은 작성자 판단이며 공식 전망이 아님.</x:v>
      </x:c>
      <x:c r="M279" s="45" t="str">
        <x:v>7장 공급망</x:v>
      </x:c>
    </x:row>
    <x:row r="280" ht="24" hidden="0" customHeight="1">
      <x:c r="A280" s="2"/>
      <x:c r="B280" s="2"/>
      <x:c r="C280" s="45" t="str">
        <x:v>S274</x:v>
      </x:c>
      <x:c r="D280" s="45" t="str">
        <x:v>π0.7 연구 공개</x:v>
      </x:c>
      <x:c r="E280" s="45" t="str">
        <x:v>π0.7</x:v>
      </x:c>
      <x:c r="F280" s="49" t="str">
        <x:v>미확인</x:v>
      </x:c>
      <x:c r="G280" s="49" t="n">
        <x:v>46282</x:v>
      </x:c>
      <x:c r="H280" s="45" t="str">
        <x:v>원문</x:v>
      </x:c>
      <x:c r="I280" s="45" t="str">
        <x:v>기업 1차자료</x:v>
      </x:c>
      <x:c r="J280" s="45" t="str">
        <x:v>π0.7 연구 공개에 관한 본문 사실 진술</x:v>
      </x:c>
      <x:c r="K280" s="45" t="str">
        <x:v>https://www.pi.website/blog/pi07</x:v>
      </x:c>
      <x:c r="L280" s="45" t="str">
        <x:v>기술·공급·계획의 확인 범위는 해당 프로파일 참조. 본문의 미래 수익 해석은 작성자 판단이며 공식 전망이 아님.</x:v>
      </x:c>
      <x:c r="M280" s="45" t="str">
        <x:v>7장 공급망
1~3장 기술</x:v>
      </x:c>
    </x:row>
    <x:row r="281" ht="15" hidden="0" customHeight="1">
      <x:c r="A281" s="2"/>
      <x:c r="B281" s="2"/>
      <x:c r="C281" s="45" t="str">
        <x:v>S275</x:v>
      </x:c>
      <x:c r="D281" s="45" t="str">
        <x:v>Industrial Robots: Definition and Collaborative Robots</x:v>
      </x:c>
      <x:c r="E281" s="45" t="str">
        <x:v>International Federation of Robotics</x:v>
      </x:c>
      <x:c r="F281" s="49" t="str">
        <x:v>미확인</x:v>
      </x:c>
      <x:c r="G281" s="49" t="n">
        <x:v>46282</x:v>
      </x:c>
      <x:c r="H281" s="45" t="str">
        <x:v>en</x:v>
      </x:c>
      <x:c r="I281" s="45" t="str">
        <x:v>1차 자료</x:v>
      </x:c>
      <x:c r="J281" s="45" t="str">
        <x:v>ISO 8373:2021를 인용한 산업용 로봇 정의. 형태·용도·협동이라는 분류 축 구분에 사용. 오래된 시장통계는 인용하지 않음.</x:v>
      </x:c>
      <x:c r="K281" s="45" t="str">
        <x:v>https://ifr.org/industrial-robots</x:v>
      </x:c>
      <x:c r="L281" s="45" t="str"/>
      <x:c r="M281" s="45" t="str">
        <x:v>1~3장 기술</x:v>
      </x:c>
    </x:row>
    <x:row r="282" ht="15" hidden="0" customHeight="1">
      <x:c r="A282" s="2"/>
      <x:c r="B282" s="2"/>
      <x:c r="C282" s="45" t="str">
        <x:v>S276</x:v>
      </x:c>
      <x:c r="D282" s="45" t="str">
        <x:v>ISO 10218-1:2025 — Industrial robots</x:v>
      </x:c>
      <x:c r="E282" s="45" t="str">
        <x:v>ISO</x:v>
      </x:c>
      <x:c r="F282" s="49" t="str">
        <x:v>2025-02</x:v>
      </x:c>
      <x:c r="G282" s="49" t="n">
        <x:v>46282</x:v>
      </x:c>
      <x:c r="H282" s="45" t="str">
        <x:v>en</x:v>
      </x:c>
      <x:c r="I282" s="45" t="str">
        <x:v>1차 자료</x:v>
      </x:c>
      <x:c r="J282" s="45" t="str">
        <x:v>공개 초록과 적용 범위 확인. 산업용 로봇 단품과 시스템 통합 구분. 이동·가정용 등 제외 범위를 확인했으며 유료 전문을 읽었다고 주장하지 않음.</x:v>
      </x:c>
      <x:c r="K282" s="45" t="str">
        <x:v>https://www.iso.org/standard/73933.html</x:v>
      </x:c>
      <x:c r="L282" s="45" t="str"/>
      <x:c r="M282" s="45" t="str">
        <x:v>1~3장 기술</x:v>
      </x:c>
    </x:row>
    <x:row r="283" ht="15" hidden="0" customHeight="1">
      <x:c r="A283" s="2"/>
      <x:c r="B283" s="2"/>
      <x:c r="C283" s="45" t="str">
        <x:v>S277</x:v>
      </x:c>
      <x:c r="D283" s="45" t="str">
        <x:v>ISO 10218-2:2025 — Industrial robot applications and robot cells</x:v>
      </x:c>
      <x:c r="E283" s="45" t="str">
        <x:v>ISO</x:v>
      </x:c>
      <x:c r="F283" s="49" t="str">
        <x:v>2025-02</x:v>
      </x:c>
      <x:c r="G283" s="49" t="n">
        <x:v>46282</x:v>
      </x:c>
      <x:c r="H283" s="45" t="str">
        <x:v>en</x:v>
      </x:c>
      <x:c r="I283" s="45" t="str">
        <x:v>1차 자료</x:v>
      </x:c>
      <x:c r="J283" s="45" t="str">
        <x:v>공개 초록과 통합·시운전·운영·정비 범위 확인. 특정 휴머노이드 인증을 입증하는 출처가 아님.</x:v>
      </x:c>
      <x:c r="K283" s="45" t="str">
        <x:v>https://www.iso.org/standard/73934.html</x:v>
      </x:c>
      <x:c r="L283" s="45" t="str"/>
      <x:c r="M283" s="45" t="str">
        <x:v>1~3장 기술</x:v>
      </x:c>
    </x:row>
    <x:row r="284" ht="15" hidden="0" customHeight="1">
      <x:c r="A284" s="2"/>
      <x:c r="B284" s="2"/>
      <x:c r="C284" s="45" t="str">
        <x:v>S278</x:v>
      </x:c>
      <x:c r="D284" s="45" t="str">
        <x:v>Learning Human-to-Humanoid Real-Time Whole-Body Teleoperation</x:v>
      </x:c>
      <x:c r="E284" s="45" t="str">
        <x:v>He et al. / arXiv</x:v>
      </x:c>
      <x:c r="F284" s="49" t="n">
        <x:v>45358</x:v>
      </x:c>
      <x:c r="G284" s="49" t="n">
        <x:v>46282</x:v>
      </x:c>
      <x:c r="H284" s="45" t="str">
        <x:v>en</x:v>
      </x:c>
      <x:c r="I284" s="45" t="str">
        <x:v>1차 자료</x:v>
      </x:c>
      <x:c r="J284" s="45" t="str">
        <x:v>H2O 원논문. RGB 영상·리타게팅·시뮬레이션 RL과 실물 전신 원격 조작. 학습 기반 제어와 자율 업무 수행을 구분.</x:v>
      </x:c>
      <x:c r="K284" s="45" t="str">
        <x:v>https://arxiv.org/abs/2403.04436</x:v>
      </x:c>
      <x:c r="L284" s="45" t="str"/>
      <x:c r="M284" s="45" t="str">
        <x:v>1~3장 기술</x:v>
      </x:c>
    </x:row>
    <x:row r="285" ht="15" hidden="0" customHeight="1">
      <x:c r="A285" s="2"/>
      <x:c r="B285" s="2"/>
      <x:c r="C285" s="45" t="str">
        <x:v>S279</x:v>
      </x:c>
      <x:c r="D285" s="45" t="str">
        <x:v>Underactuated Robotics: Highly-articulated Legged Robots</x:v>
      </x:c>
      <x:c r="E285" s="45" t="str">
        <x:v>Russ Tedrake / MIT</x:v>
      </x:c>
      <x:c r="F285" s="49" t="str">
        <x:v>2024</x:v>
      </x:c>
      <x:c r="G285" s="49" t="n">
        <x:v>46282</x:v>
      </x:c>
      <x:c r="H285" s="45" t="str">
        <x:v>en</x:v>
      </x:c>
      <x:c r="I285" s="45" t="str">
        <x:v>1차 자료</x:v>
      </x:c>
      <x:c r="J285" s="45" t="str">
        <x:v>지면 반력·마찰·압력 중심·ZMP·무게중심 역학에 관한 강의 노트. 일반 물리 설명에 사용하며 특정 회사의 제어 구현을 추정하지 않음.</x:v>
      </x:c>
      <x:c r="K285" s="45" t="str">
        <x:v>https://underactuated.mit.edu/humanoids.html</x:v>
      </x:c>
      <x:c r="L285" s="45" t="str"/>
      <x:c r="M285" s="45" t="str">
        <x:v>1~3장 기술</x:v>
      </x:c>
    </x:row>
    <x:row r="286" ht="15" hidden="0" customHeight="1">
      <x:c r="A286" s="2"/>
      <x:c r="B286" s="2"/>
      <x:c r="C286" s="45" t="str">
        <x:v>S280</x:v>
      </x:c>
      <x:c r="D286" s="45" t="str">
        <x:v>RT-2: Vision-Language-Action Models Transfer Web Knowledge to Robotic Control</x:v>
      </x:c>
      <x:c r="E286" s="45" t="str">
        <x:v>Google DeepMind / arXiv</x:v>
      </x:c>
      <x:c r="F286" s="49" t="n">
        <x:v>45135</x:v>
      </x:c>
      <x:c r="G286" s="49" t="n">
        <x:v>46282</x:v>
      </x:c>
      <x:c r="H286" s="45" t="str">
        <x:v>en</x:v>
      </x:c>
      <x:c r="I286" s="45" t="str">
        <x:v>1차 자료</x:v>
      </x:c>
      <x:c r="J286" s="45" t="str">
        <x:v>원문 HTML 확인. 의미 일반화와 물리적 기술 분포의 한계를 함께 인용. 2026년 최신 모델로 소개하지 않음.</x:v>
      </x:c>
      <x:c r="K286" s="45" t="str">
        <x:v>https://arxiv.org/html/2307.15818v1</x:v>
      </x:c>
      <x:c r="L286" s="45" t="str"/>
      <x:c r="M286" s="45" t="str">
        <x:v>1~3장 기술</x:v>
      </x:c>
    </x:row>
    <x:row r="287" ht="15" hidden="0" customHeight="1">
      <x:c r="A287" s="2"/>
      <x:c r="B287" s="2"/>
      <x:c r="C287" s="45" t="str">
        <x:v>S281</x:v>
      </x:c>
      <x:c r="D287" s="45" t="str">
        <x:v>Open X-Embodiment: Robotic Learning Datasets and RT-X Models</x:v>
      </x:c>
      <x:c r="E287" s="45" t="str">
        <x:v>Open X-Embodiment Collaboration / arXiv</x:v>
      </x:c>
      <x:c r="F287" s="49" t="n">
        <x:v>45212</x:v>
      </x:c>
      <x:c r="G287" s="49" t="n">
        <x:v>46282</x:v>
      </x:c>
      <x:c r="H287" s="45" t="str">
        <x:v>en</x:v>
      </x:c>
      <x:c r="I287" s="45" t="str">
        <x:v>1차 자료</x:v>
      </x:c>
      <x:c r="J287" s="45" t="str">
        <x:v>여러 기체의 표준화 데이터와 긍정적 전이. v9 개정일 2025-05-14. 데이터 공유가 모든 기체의 즉시 동등 성능을 보장하지 않음을 구분.</x:v>
      </x:c>
      <x:c r="K287" s="45" t="str">
        <x:v>https://arxiv.org/abs/2310.08864</x:v>
      </x:c>
      <x:c r="L287" s="45" t="str"/>
      <x:c r="M287" s="45" t="str">
        <x:v>1~3장 기술</x:v>
      </x:c>
    </x:row>
    <x:row r="288" ht="15" hidden="0" customHeight="1">
      <x:c r="A288" s="2"/>
      <x:c r="B288" s="2"/>
      <x:c r="C288" s="45" t="str">
        <x:v>S282</x:v>
      </x:c>
      <x:c r="D288" s="45" t="str">
        <x:v>DROID: A Large-Scale In-The-Wild Robot Manipulation Dataset</x:v>
      </x:c>
      <x:c r="E288" s="45" t="str">
        <x:v>Khazatsky et al. / arXiv</x:v>
      </x:c>
      <x:c r="F288" s="49" t="n">
        <x:v>45370</x:v>
      </x:c>
      <x:c r="G288" s="49" t="n">
        <x:v>46282</x:v>
      </x:c>
      <x:c r="H288" s="45" t="str">
        <x:v>en</x:v>
      </x:c>
      <x:c r="I288" s="45" t="str">
        <x:v>1차 자료</x:v>
      </x:c>
      <x:c r="J288" s="45" t="str">
        <x:v>다양한 실제 환경의 조작 데이터. v2 개정일 2025-04-22. 영상 시간·에피소드·환경 다양성을 구분하는 근거.</x:v>
      </x:c>
      <x:c r="K288" s="45" t="str">
        <x:v>https://arxiv.org/abs/2403.12945</x:v>
      </x:c>
      <x:c r="L288" s="45" t="str"/>
      <x:c r="M288" s="45" t="str">
        <x:v>1~3장 기술</x:v>
      </x:c>
    </x:row>
    <x:row r="289" ht="24" hidden="0" customHeight="1">
      <x:c r="A289" s="2"/>
      <x:c r="B289" s="2"/>
      <x:c r="C289" s="45" t="str">
        <x:v>S283</x:v>
      </x:c>
      <x:c r="D289" s="45" t="str">
        <x:v>Proprioceptive Actuator Design in the MIT Cheetah: Impact Mitigation and High-Bandwidth Physical Interaction for Dynamic Legged Robots</x:v>
      </x:c>
      <x:c r="E289" s="45" t="str">
        <x:v>Wensing et al. / MIT repository / IEEE</x:v>
      </x:c>
      <x:c r="F289" s="49" t="str">
        <x:v>2017</x:v>
      </x:c>
      <x:c r="G289" s="49" t="n">
        <x:v>46282</x:v>
      </x:c>
      <x:c r="H289" s="45" t="str">
        <x:v>en</x:v>
      </x:c>
      <x:c r="I289" s="45" t="str">
        <x:v>1차 자료</x:v>
      </x:c>
      <x:c r="J289" s="45" t="str">
        <x:v>저자 최종 원고 메타데이터와 상세 초록 확인. 구동부 역구동성·힘 제어·충격·토크 밀도 절충. 실물 휴머노이드 사양으로 전용하지 않음.</x:v>
      </x:c>
      <x:c r="K289" s="45" t="str">
        <x:v>https://dspace.mit.edu/entities/publication/8b15bcc8-c288-43aa-b923-69ce3c13b818</x:v>
      </x:c>
      <x:c r="L289" s="45" t="str"/>
      <x:c r="M289" s="45" t="str">
        <x:v>1~3장 기술</x:v>
      </x:c>
    </x:row>
    <x:row r="290" ht="15" hidden="0" customHeight="1">
      <x:c r="A290" s="2"/>
      <x:c r="B290" s="2"/>
      <x:c r="C290" s="45" t="str">
        <x:v>S284</x:v>
      </x:c>
      <x:c r="D290" s="45" t="str">
        <x:v>VLAs with Long and Short-Term Memory</x:v>
      </x:c>
      <x:c r="E290" s="45" t="str">
        <x:v>Physical Intelligence</x:v>
      </x:c>
      <x:c r="F290" s="49" t="n">
        <x:v>46084</x:v>
      </x:c>
      <x:c r="G290" s="49" t="n">
        <x:v>46282</x:v>
      </x:c>
      <x:c r="H290" s="45" t="str">
        <x:v>en</x:v>
      </x:c>
      <x:c r="I290" s="45" t="str">
        <x:v>1차 자료</x:v>
      </x:c>
      <x:c r="J290" s="45" t="str">
        <x:v>개발자 원문. Multi-scale Embodied Memory의 단기 관측·장기 언어 기억 구조. 연구 작업 길이와 교대 시간 무인 가동을 구분.</x:v>
      </x:c>
      <x:c r="K290" s="45" t="str">
        <x:v>https://www.pi.website/research/memory</x:v>
      </x:c>
      <x:c r="L290" s="45" t="str"/>
      <x:c r="M290" s="45" t="str">
        <x:v>1~3장 기술</x:v>
      </x:c>
    </x:row>
    <x:row r="291" ht="15" hidden="0" customHeight="1">
      <x:c r="A291" s="2"/>
      <x:c r="B291" s="2"/>
      <x:c r="C291" s="45" t="str">
        <x:v>S285</x:v>
      </x:c>
      <x:c r="D291" s="45" t="str">
        <x:v>Precise Manipulation with Efficient Online RL</x:v>
      </x:c>
      <x:c r="E291" s="45" t="str">
        <x:v>Physical Intelligence</x:v>
      </x:c>
      <x:c r="F291" s="49" t="n">
        <x:v>46100</x:v>
      </x:c>
      <x:c r="G291" s="49" t="n">
        <x:v>46282</x:v>
      </x:c>
      <x:c r="H291" s="45" t="str">
        <x:v>en</x:v>
      </x:c>
      <x:c r="I291" s="45" t="str">
        <x:v>1차 자료</x:v>
      </x:c>
      <x:c r="J291" s="45" t="str">
        <x:v>개발자 원문. VLA 표현과 소형 RL actor/critic을 통한 정밀 구간 개선. 일부 구간 속도 개선을 전체 공정 처리량 증가로 확대하지 않음.</x:v>
      </x:c>
      <x:c r="K291" s="45" t="str">
        <x:v>https://www.pi.website/research/rlt</x:v>
      </x:c>
      <x:c r="L291" s="45" t="str"/>
      <x:c r="M291" s="45" t="str">
        <x:v>1~3장 기술</x:v>
      </x:c>
    </x:row>
    <x:row r="292" ht="15" hidden="0" customHeight="1">
      <x:c r="A292" s="2"/>
      <x:c r="B292" s="2"/>
      <x:c r="C292" s="45" t="str">
        <x:v>S286</x:v>
      </x:c>
      <x:c r="D292" s="45" t="str">
        <x:v>NVIDIA Isaac GR00T N1.7 official repository</x:v>
      </x:c>
      <x:c r="E292" s="45" t="str">
        <x:v>NVIDIA</x:v>
      </x:c>
      <x:c r="F292" s="49" t="str">
        <x:v>미확인</x:v>
      </x:c>
      <x:c r="G292" s="49" t="n">
        <x:v>46282</x:v>
      </x:c>
      <x:c r="H292" s="45" t="str">
        <x:v>en</x:v>
      </x:c>
      <x:c r="I292" s="45" t="str">
        <x:v>1차 자료</x:v>
      </x:c>
      <x:c r="J292" s="45" t="str">
        <x:v>기준일 README의 N1.7 GA·후학습·평가·배포 구조 확인. 갱신되는 저장소이므로 확인일 중요. 라이선스 상세 법률 해석이나 현장 성능 보증은 하지 않음.</x:v>
      </x:c>
      <x:c r="K292" s="45" t="str">
        <x:v>https://github.com/NVIDIA/Isaac-GR00T</x:v>
      </x:c>
      <x:c r="L292" s="45" t="str"/>
      <x:c r="M292" s="45" t="str">
        <x:v>1~3장 기술</x:v>
      </x:c>
    </x:row>
    <x:row r="293" ht="15" hidden="0" customHeight="1">
      <x:c r="A293" s="2"/>
      <x:c r="B293" s="2"/>
      <x:c r="C293" s="45" t="str">
        <x:v>S287</x:v>
      </x:c>
      <x:c r="D293" s="45" t="str">
        <x:v>자율성장 휴머노이드 브레인 및 개방형 AI 플랫폼 개발</x:v>
      </x:c>
      <x:c r="E293" s="45" t="str">
        <x:v>GIST AILAB</x:v>
      </x:c>
      <x:c r="F293" s="49" t="str">
        <x:v>미확인</x:v>
      </x:c>
      <x:c r="G293" s="49" t="n">
        <x:v>46282</x:v>
      </x:c>
      <x:c r="H293" s="45" t="str">
        <x:v>ko</x:v>
      </x:c>
      <x:c r="I293" s="45" t="str">
        <x:v>1차 자료</x:v>
      </x:c>
      <x:c r="J293" s="45" t="str">
        <x:v>연구팀이 공개한 연구 목표. 고수준 추론과 고속·정밀 행동의 이중 프로세스 VLA. 목표와 구현 완료를 구분.</x:v>
      </x:c>
      <x:c r="K293" s="45" t="str">
        <x:v>https://sites.google.com/view/gistailab/project/%EA%B8%80%EB%A1%9C%EB%B2%8C%ED%83%91</x:v>
      </x:c>
      <x:c r="L293" s="45" t="str"/>
      <x:c r="M293" s="45" t="str">
        <x:v>1~3장 기술</x:v>
      </x:c>
    </x:row>
    <x:row r="294" ht="15" hidden="0" customHeight="1">
      <x:c r="A294" s="2"/>
      <x:c r="B294" s="2"/>
      <x:c r="C294" s="45" t="str">
        <x:v>S288</x:v>
      </x:c>
      <x:c r="D294" s="45" t="str">
        <x:v>GR00T N1: An Open Foundation Model for Generalist Humanoid Robots</x:v>
      </x:c>
      <x:c r="E294" s="45" t="str">
        <x:v>NVIDIA / arXiv</x:v>
      </x:c>
      <x:c r="F294" s="49" t="n">
        <x:v>45734</x:v>
      </x:c>
      <x:c r="G294" s="49" t="n">
        <x:v>46282</x:v>
      </x:c>
      <x:c r="H294" s="45" t="str">
        <x:v>en</x:v>
      </x:c>
      <x:c r="I294" s="45" t="str">
        <x:v>1차 자료</x:v>
      </x:c>
      <x:c r="J294" s="45" t="str">
        <x:v>원논문, v2 개정일 2025-03-27. 시각언어 모듈·행동 생성·혼합 데이터·Fourier GR-1 조작. 최신 N1.7 저장소와 구분.</x:v>
      </x:c>
      <x:c r="K294" s="45" t="str">
        <x:v>https://arxiv.org/abs/2503.14734</x:v>
      </x:c>
      <x:c r="L294" s="45" t="str"/>
      <x:c r="M294" s="45" t="str">
        <x:v>1~3장 기술</x:v>
      </x:c>
    </x:row>
    <x:row r="295" ht="15" hidden="0" customHeight="1">
      <x:c r="A295" s="2"/>
      <x:c r="B295" s="2"/>
      <x:c r="C295" s="45" t="str">
        <x:v>S289</x:v>
      </x:c>
      <x:c r="D295" s="45" t="str">
        <x:v>Diffusion Policy: Visuomotor Policy Learning via Action Diffusion</x:v>
      </x:c>
      <x:c r="E295" s="45" t="str">
        <x:v>Chi et al. / arXiv</x:v>
      </x:c>
      <x:c r="F295" s="49" t="n">
        <x:v>44992</x:v>
      </x:c>
      <x:c r="G295" s="49" t="n">
        <x:v>46282</x:v>
      </x:c>
      <x:c r="H295" s="45" t="str">
        <x:v>en</x:v>
      </x:c>
      <x:c r="I295" s="45" t="str">
        <x:v>1차 자료</x:v>
      </x:c>
      <x:c r="J295" s="45" t="str">
        <x:v>원문 HTML v5 2024-03-14 확인. 다봉 행동 분포·행동 시퀀스·receding horizon. 논문 개선율을 산업 생산성으로 환산하지 않음.</x:v>
      </x:c>
      <x:c r="K295" s="45" t="str">
        <x:v>https://arxiv.org/html/2303.04137v5</x:v>
      </x:c>
      <x:c r="L295" s="45" t="str"/>
      <x:c r="M295" s="45" t="str">
        <x:v>1~3장 기술</x:v>
      </x:c>
    </x:row>
    <x:row r="296" ht="15" hidden="0" customHeight="1">
      <x:c r="A296" s="2"/>
      <x:c r="B296" s="2"/>
      <x:c r="C296" s="45" t="str">
        <x:v>S290</x:v>
      </x:c>
      <x:c r="D296" s="45" t="str">
        <x:v>Learning Fine-Grained Bimanual Manipulation with Low-Cost Hardware</x:v>
      </x:c>
      <x:c r="E296" s="45" t="str">
        <x:v>Zhao et al. / arXiv</x:v>
      </x:c>
      <x:c r="F296" s="49" t="n">
        <x:v>45039</x:v>
      </x:c>
      <x:c r="G296" s="49" t="n">
        <x:v>46282</x:v>
      </x:c>
      <x:c r="H296" s="45" t="str">
        <x:v>en</x:v>
      </x:c>
      <x:c r="I296" s="45" t="str">
        <x:v>1차 자료</x:v>
      </x:c>
      <x:c r="J296" s="45" t="str">
        <x:v>ALOHA·ACT 원문 HTML. 행동 묶음·temporal ensembling·누적 오차의 원리. 시범 몇 분으로 모든 작업 학습 가능하다는 해석 배제.</x:v>
      </x:c>
      <x:c r="K296" s="45" t="str">
        <x:v>https://arxiv.org/html/2304.13705v1</x:v>
      </x:c>
      <x:c r="L296" s="45" t="str"/>
      <x:c r="M296" s="45" t="str">
        <x:v>1~3장 기술</x:v>
      </x:c>
    </x:row>
    <x:row r="297" ht="15" hidden="0" customHeight="1">
      <x:c r="A297" s="2"/>
      <x:c r="B297" s="2"/>
      <x:c r="C297" s="45" t="str">
        <x:v>S291</x:v>
      </x:c>
      <x:c r="D297" s="45" t="str">
        <x:v>π0: Our First Generalist Policy</x:v>
      </x:c>
      <x:c r="E297" s="45" t="str">
        <x:v>Physical Intelligence</x:v>
      </x:c>
      <x:c r="F297" s="49" t="n">
        <x:v>45596</x:v>
      </x:c>
      <x:c r="G297" s="49" t="n">
        <x:v>46282</x:v>
      </x:c>
      <x:c r="H297" s="45" t="str">
        <x:v>en</x:v>
      </x:c>
      <x:c r="I297" s="45" t="str">
        <x:v>1차 자료</x:v>
      </x:c>
      <x:c r="J297" s="45" t="str">
        <x:v>초기 모델의 연속 행동 생성과 flow matching에 관한 회사 연구 소개. 최신 모델 지위는 π0.7과 구분.</x:v>
      </x:c>
      <x:c r="K297" s="45" t="str">
        <x:v>https://www.pi.website/blog/pi0</x:v>
      </x:c>
      <x:c r="L297" s="45" t="str"/>
      <x:c r="M297" s="45" t="str">
        <x:v>1~3장 기술</x:v>
      </x:c>
    </x:row>
    <x:row r="298" ht="15" hidden="0" customHeight="1">
      <x:c r="A298" s="2"/>
      <x:c r="B298" s="2"/>
      <x:c r="C298" s="45" t="str">
        <x:v>S292</x:v>
      </x:c>
      <x:c r="D298" s="45" t="str">
        <x:v>A Reduction of Imitation Learning and Structured Prediction to No-Regret Online Learning</x:v>
      </x:c>
      <x:c r="E298" s="45" t="str">
        <x:v>Ross, Gordon and Bagnell / arXiv</x:v>
      </x:c>
      <x:c r="F298" s="49" t="n">
        <x:v>40484</x:v>
      </x:c>
      <x:c r="G298" s="49" t="n">
        <x:v>46282</x:v>
      </x:c>
      <x:c r="H298" s="45" t="str">
        <x:v>en</x:v>
      </x:c>
      <x:c r="I298" s="45" t="str">
        <x:v>1차 자료</x:v>
      </x:c>
      <x:c r="J298" s="45" t="str">
        <x:v>DAgger 원논문, AISTATS 2011. 정책이 방문하는 상태 분포와 전문가 교정 데이터의 의미.</x:v>
      </x:c>
      <x:c r="K298" s="45" t="str">
        <x:v>https://arxiv.org/abs/1011.0686</x:v>
      </x:c>
      <x:c r="L298" s="45" t="str"/>
      <x:c r="M298" s="45" t="str">
        <x:v>1~3장 기술</x:v>
      </x:c>
    </x:row>
    <x:row r="299" ht="15" hidden="0" customHeight="1">
      <x:c r="A299" s="2"/>
      <x:c r="B299" s="2"/>
      <x:c r="C299" s="45" t="str">
        <x:v>S293</x:v>
      </x:c>
      <x:c r="D299" s="45" t="str">
        <x:v>Humanoid-Gym: Reinforcement Learning for Humanoid Robot with Zero-Shot Sim2Real Transfer</x:v>
      </x:c>
      <x:c r="E299" s="45" t="str">
        <x:v>Gu, Wang and Chen / arXiv</x:v>
      </x:c>
      <x:c r="F299" s="49" t="n">
        <x:v>45390</x:v>
      </x:c>
      <x:c r="G299" s="49" t="n">
        <x:v>46282</x:v>
      </x:c>
      <x:c r="H299" s="45" t="str">
        <x:v>en</x:v>
      </x:c>
      <x:c r="I299" s="45" t="str">
        <x:v>1차 자료</x:v>
      </x:c>
      <x:c r="J299" s="45" t="str">
        <x:v>Isaac Gym·MuJoCo·RobotEra XBot-S/XBot-L 실기체 전이. 중국 연구의 공개 제어·학습 사례. zero-shot 범위를 한정.</x:v>
      </x:c>
      <x:c r="K299" s="45" t="str">
        <x:v>https://arxiv.org/abs/2404.05695</x:v>
      </x:c>
      <x:c r="L299" s="45" t="str"/>
      <x:c r="M299" s="45" t="str">
        <x:v>1~3장 기술</x:v>
      </x:c>
    </x:row>
    <x:row r="300" ht="15" hidden="0" customHeight="1">
      <x:c r="A300" s="2"/>
      <x:c r="B300" s="2"/>
      <x:c r="C300" s="45" t="str">
        <x:v>S294</x:v>
      </x:c>
      <x:c r="D300" s="45" t="str">
        <x:v>DexMimicGen: Automated Data Generation for Bimanual Dexterous Manipulation via Imitation Learning</x:v>
      </x:c>
      <x:c r="E300" s="45" t="str">
        <x:v>Jiang et al. / arXiv</x:v>
      </x:c>
      <x:c r="F300" s="49" t="n">
        <x:v>45596</x:v>
      </x:c>
      <x:c r="G300" s="49" t="n">
        <x:v>46282</x:v>
      </x:c>
      <x:c r="H300" s="45" t="str">
        <x:v>en</x:v>
      </x:c>
      <x:c r="I300" s="45" t="str">
        <x:v>1차 자료</x:v>
      </x:c>
      <x:c r="J300" s="45" t="str">
        <x:v>원문 초록 및 연구 절차. 소수 시범에서 시뮬레이션 궤적 확대, 실제 캔 분류 전이. v2 2025-03-06.</x:v>
      </x:c>
      <x:c r="K300" s="45" t="str">
        <x:v>https://arxiv.org/abs/2410.24185</x:v>
      </x:c>
      <x:c r="L300" s="45" t="str"/>
      <x:c r="M300" s="45" t="str">
        <x:v>1~3장 기술</x:v>
      </x:c>
    </x:row>
    <x:row r="301" ht="15" hidden="0" customHeight="1">
      <x:c r="A301" s="2"/>
      <x:c r="B301" s="2"/>
      <x:c r="C301" s="45" t="str">
        <x:v>S295</x:v>
      </x:c>
      <x:c r="D301" s="45" t="str">
        <x:v>RoboCasa: Large-Scale Simulation of Everyday Tasks for Generalist Robots</x:v>
      </x:c>
      <x:c r="E301" s="45" t="str">
        <x:v>Nasiriany et al. / arXiv</x:v>
      </x:c>
      <x:c r="F301" s="49" t="n">
        <x:v>45447</x:v>
      </x:c>
      <x:c r="G301" s="49" t="n">
        <x:v>46282</x:v>
      </x:c>
      <x:c r="H301" s="45" t="str">
        <x:v>en</x:v>
      </x:c>
      <x:c r="I301" s="45" t="str">
        <x:v>1차 자료</x:v>
      </x:c>
      <x:c r="J301" s="45" t="str">
        <x:v>주방 환경·다양한 자산·작업·합성 궤적. 합성 데이터를 실제 독립 경험과 동일시하지 않음.</x:v>
      </x:c>
      <x:c r="K301" s="45" t="str">
        <x:v>https://arxiv.org/abs/2406.02523</x:v>
      </x:c>
      <x:c r="L301" s="45" t="str"/>
      <x:c r="M301" s="45" t="str">
        <x:v>1~3장 기술</x:v>
      </x:c>
    </x:row>
    <x:row r="302" ht="15" hidden="0" customHeight="1">
      <x:c r="A302" s="2"/>
      <x:c r="B302" s="2"/>
      <x:c r="C302" s="45" t="str">
        <x:v>S296</x:v>
      </x:c>
      <x:c r="D302" s="45" t="str">
        <x:v>Actuators — Isaac Lab Documentation</x:v>
      </x:c>
      <x:c r="E302" s="45" t="str">
        <x:v>NVIDIA Isaac Lab</x:v>
      </x:c>
      <x:c r="F302" s="49" t="str">
        <x:v>미확인</x:v>
      </x:c>
      <x:c r="G302" s="49" t="n">
        <x:v>46282</x:v>
      </x:c>
      <x:c r="H302" s="45" t="str">
        <x:v>en</x:v>
      </x:c>
      <x:c r="I302" s="45" t="str">
        <x:v>1차 자료</x:v>
      </x:c>
      <x:c r="J302" s="45" t="str">
        <x:v>공식 기술 문서. ideal versus external drive model, delay·torque·velocity limits, explicit actuator clipping. 기준일 문서 확인.</x:v>
      </x:c>
      <x:c r="K302" s="45" t="str">
        <x:v>https://isaac-sim.github.io/IsaacLab/main/source/overview/core-concepts/actuators.html</x:v>
      </x:c>
      <x:c r="L302" s="45" t="str"/>
      <x:c r="M302" s="45" t="str">
        <x:v>1~3장 기술</x:v>
      </x:c>
    </x:row>
    <x:row r="303" ht="15" hidden="0" customHeight="1">
      <x:c r="A303" s="2"/>
      <x:c r="B303" s="2"/>
      <x:c r="C303" s="45" t="str">
        <x:v>S297</x:v>
      </x:c>
      <x:c r="D303" s="45" t="str">
        <x:v>Learning Dexterous In-Hand Manipulation</x:v>
      </x:c>
      <x:c r="E303" s="45" t="str">
        <x:v>OpenAI et al. / arXiv</x:v>
      </x:c>
      <x:c r="F303" s="49" t="n">
        <x:v>43313</x:v>
      </x:c>
      <x:c r="G303" s="49" t="n">
        <x:v>46282</x:v>
      </x:c>
      <x:c r="H303" s="45" t="str">
        <x:v>en</x:v>
      </x:c>
      <x:c r="I303" s="45" t="str">
        <x:v>1차 자료</x:v>
      </x:c>
      <x:c r="J303" s="45" t="str">
        <x:v>시뮬레이션 물리·시각 랜덤화와 실제 Shadow Hand로의 전이. 과거부터 축적된 sim-to-real 기법의 사례.</x:v>
      </x:c>
      <x:c r="K303" s="45" t="str">
        <x:v>https://arxiv.org/abs/1808.00177</x:v>
      </x:c>
      <x:c r="L303" s="45" t="str"/>
      <x:c r="M303" s="45" t="str">
        <x:v>1~3장 기술</x:v>
      </x:c>
    </x:row>
    <x:row r="304" ht="15" hidden="0" customHeight="1">
      <x:c r="A304" s="2"/>
      <x:c r="B304" s="2"/>
      <x:c r="C304" s="45" t="str">
        <x:v>S298</x:v>
      </x:c>
      <x:c r="D304" s="45" t="str">
        <x:v>Evaluating Real-World Robot Manipulation Policies in Simulation</x:v>
      </x:c>
      <x:c r="E304" s="45" t="str">
        <x:v>Li et al. / arXiv</x:v>
      </x:c>
      <x:c r="F304" s="49" t="n">
        <x:v>45421</x:v>
      </x:c>
      <x:c r="G304" s="49" t="n">
        <x:v>46282</x:v>
      </x:c>
      <x:c r="H304" s="45" t="str">
        <x:v>en</x:v>
      </x:c>
      <x:c r="I304" s="45" t="str">
        <x:v>1차 자료</x:v>
      </x:c>
      <x:c r="J304" s="45" t="str">
        <x:v>SIMPLER. 시각·제어 차이를 줄이고 실제 평가와 상관관계를 확인하는 연구. 상관관계가 모든 현장 보증이라는 해석 배제.</x:v>
      </x:c>
      <x:c r="K304" s="45" t="str">
        <x:v>https://arxiv.org/abs/2405.05941</x:v>
      </x:c>
      <x:c r="L304" s="45" t="str"/>
      <x:c r="M304" s="45" t="str">
        <x:v>1~3장 기술</x:v>
      </x:c>
    </x:row>
    <x:row r="305" ht="15" hidden="0" customHeight="1">
      <x:c r="A305" s="2"/>
      <x:c r="B305" s="2"/>
      <x:c r="C305" s="45" t="str">
        <x:v>S299</x:v>
      </x:c>
      <x:c r="D305" s="45" t="str">
        <x:v>GelSlim: A High-Resolution, Compact, Robust, and Calibrated Tactile-sensing Finger</x:v>
      </x:c>
      <x:c r="E305" s="45" t="str">
        <x:v>Donlon et al. / arXiv</x:v>
      </x:c>
      <x:c r="F305" s="49" t="n">
        <x:v>43160</x:v>
      </x:c>
      <x:c r="G305" s="49" t="n">
        <x:v>46282</x:v>
      </x:c>
      <x:c r="H305" s="45" t="str">
        <x:v>en</x:v>
      </x:c>
      <x:c r="I305" s="45" t="str">
        <x:v>1차 자료</x:v>
      </x:c>
      <x:c r="J305" s="45" t="str">
        <x:v>촉각의 광학 경로·크기·신호 균질성·표면 내구성. v2 2018-05-15. 실험 반복 횟수를 양산 제품 수명 보증으로 취급하지 않음.</x:v>
      </x:c>
      <x:c r="K305" s="45" t="str">
        <x:v>https://arxiv.org/abs/1803.00628</x:v>
      </x:c>
      <x:c r="L305" s="45" t="str"/>
      <x:c r="M305" s="45" t="str">
        <x:v>1~3장 기술</x:v>
      </x:c>
    </x:row>
    <x:row r="306" ht="15" hidden="0" customHeight="1">
      <x:c r="A306" s="2"/>
      <x:c r="B306" s="2"/>
      <x:c r="C306" s="45" t="str">
        <x:v>S300</x:v>
      </x:c>
      <x:c r="D306" s="45" t="str">
        <x:v>Harmonic Drive strain wave gearing technology</x:v>
      </x:c>
      <x:c r="E306" s="45" t="str">
        <x:v>Harmonic Drive LLC</x:v>
      </x:c>
      <x:c r="F306" s="49" t="str">
        <x:v>미확인</x:v>
      </x:c>
      <x:c r="G306" s="49" t="n">
        <x:v>46282</x:v>
      </x:c>
      <x:c r="H306" s="45" t="str">
        <x:v>en</x:v>
      </x:c>
      <x:c r="I306" s="45" t="str">
        <x:v>1차 자료</x:v>
      </x:c>
      <x:c r="J306" s="45" t="str">
        <x:v>제조사 공식 구조 설명. wave generator·flexspline·circular spline. 백래시와 하중 변형·히스테리시스는 다른 지표임을 설명.</x:v>
      </x:c>
      <x:c r="K306" s="45" t="str">
        <x:v>https://www.harmonicdrive.net/technology</x:v>
      </x:c>
      <x:c r="L306" s="45" t="str"/>
      <x:c r="M306" s="45" t="str">
        <x:v>1~3장 기술</x:v>
      </x:c>
    </x:row>
    <x:row r="307" ht="15" hidden="0" customHeight="1">
      <x:c r="A307" s="2"/>
      <x:c r="B307" s="2"/>
      <x:c r="C307" s="45" t="str">
        <x:v>S301</x:v>
      </x:c>
      <x:c r="D307" s="45" t="str">
        <x:v>Ball Screw — Product Information</x:v>
      </x:c>
      <x:c r="E307" s="45" t="str">
        <x:v>THK</x:v>
      </x:c>
      <x:c r="F307" s="49" t="str">
        <x:v>미확인</x:v>
      </x:c>
      <x:c r="G307" s="49" t="n">
        <x:v>46282</x:v>
      </x:c>
      <x:c r="H307" s="45" t="str">
        <x:v>en</x:v>
      </x:c>
      <x:c r="I307" s="45" t="str">
        <x:v>1차 자료</x:v>
      </x:c>
      <x:c r="J307" s="45" t="str">
        <x:v>공식 제품·기술 문서. 볼의 구름을 통한 회전-직선 변환, 효율·예압·구동 토크 설명. 특정 휴머노이드 납품 증거가 아님.</x:v>
      </x:c>
      <x:c r="K307" s="45" t="str">
        <x:v>https://www.thk.com/us/en/products/ball_screw/</x:v>
      </x:c>
      <x:c r="L307" s="45" t="str"/>
      <x:c r="M307" s="45" t="str">
        <x:v>1~3장 기술</x:v>
      </x:c>
    </x:row>
    <x:row r="308" ht="15" hidden="0" customHeight="1">
      <x:c r="A308" s="2"/>
      <x:c r="B308" s="2"/>
      <x:c r="C308" s="45" t="str">
        <x:v>S302</x:v>
      </x:c>
      <x:c r="D308" s="45" t="str">
        <x:v>US10253855B2: Screw actuator for a legged robot</x:v>
      </x:c>
      <x:c r="E308" s="45" t="str">
        <x:v>Boston Dynamics / USPTO via Google Patents</x:v>
      </x:c>
      <x:c r="F308" s="49" t="n">
        <x:v>43564</x:v>
      </x:c>
      <x:c r="G308" s="49" t="n">
        <x:v>46282</x:v>
      </x:c>
      <x:c r="H308" s="45" t="str">
        <x:v>en</x:v>
      </x:c>
      <x:c r="I308" s="45" t="str">
        <x:v>1차 자료</x:v>
      </x:c>
      <x:c r="J308" s="45" t="str">
        <x:v>특허 본문. 스크루·링크·무릎 구동 구조 사례. 현재 양산 채택·납품사·특허 법적 지위에 대한 판단 근거로 쓰지 않음.</x:v>
      </x:c>
      <x:c r="K308" s="45" t="str">
        <x:v>https://patents.google.com/patent/US10253855B2/en</x:v>
      </x:c>
      <x:c r="L308" s="45" t="str"/>
      <x:c r="M308" s="45" t="str">
        <x:v>1~3장 기술</x:v>
      </x:c>
    </x:row>
    <x:row r="309" ht="24" hidden="0" customHeight="1">
      <x:c r="A309" s="2"/>
      <x:c r="B309" s="2"/>
      <x:c r="C309" s="45" t="str">
        <x:v>S303</x:v>
      </x:c>
      <x:c r="D309" s="45" t="str">
        <x:v>F.03 Battery Development</x:v>
      </x:c>
      <x:c r="E309" s="45" t="str">
        <x:v>Figure</x:v>
      </x:c>
      <x:c r="F309" s="49" t="n">
        <x:v>45855</x:v>
      </x:c>
      <x:c r="G309" s="49" t="n">
        <x:v>46282</x:v>
      </x:c>
      <x:c r="H309" s="45" t="str">
        <x:v>en</x:v>
      </x:c>
      <x:c r="I309" s="45" t="str">
        <x:v>1차 자료</x:v>
      </x:c>
      <x:c r="J309" s="45" t="str">
        <x:v>회사 배터리 구조·팩 통합·냉각·보호 설계 설명. 페이지의 in-process certification과 결론 certified 표현 불일치 때문에 인증 완료를 본문에서 단정하지 않음. 비용·시간은 회사 주장.</x:v>
      </x:c>
      <x:c r="K309" s="45" t="str">
        <x:v>https://www.figure.ai/news/f-03-battery-development</x:v>
      </x:c>
      <x:c r="L309" s="45" t="str"/>
      <x:c r="M309" s="45" t="str">
        <x:v>1~3장 기술</x:v>
      </x:c>
    </x:row>
    <x:row r="310" ht="15" hidden="0" customHeight="1">
      <x:c r="A310" s="2"/>
      <x:c r="B310" s="2"/>
      <x:c r="C310" s="45" t="str">
        <x:v>S304</x:v>
      </x:c>
      <x:c r="D310" s="45" t="str">
        <x:v>ISO 13482:2014 — Safety requirements for personal care robots</x:v>
      </x:c>
      <x:c r="E310" s="45" t="str">
        <x:v>ISO</x:v>
      </x:c>
      <x:c r="F310" s="49" t="str">
        <x:v>2014-02</x:v>
      </x:c>
      <x:c r="G310" s="49" t="n">
        <x:v>46282</x:v>
      </x:c>
      <x:c r="H310" s="45" t="str">
        <x:v>en</x:v>
      </x:c>
      <x:c r="I310" s="45" t="str">
        <x:v>1차 자료</x:v>
      </x:c>
      <x:c r="J310" s="45" t="str">
        <x:v>공개 초록. 기준일 현행 2014판과 FDIS 개정 진행 표시 확인. 적용 범위와 로봇 단품·전체 용도 인증의 차이를 설명.</x:v>
      </x:c>
      <x:c r="K310" s="45" t="str">
        <x:v>https://www.iso.org/standard/53820.html</x:v>
      </x:c>
      <x:c r="L310" s="45" t="str"/>
      <x:c r="M310" s="45" t="str">
        <x:v>1~3장 기술</x:v>
      </x:c>
    </x:row>
    <x:row r="311" ht="15" hidden="0" customHeight="1">
      <x:c r="A311" s="2"/>
      <x:c r="B311" s="2"/>
      <x:c r="C311" s="45" t="str">
        <x:v>S305</x:v>
      </x:c>
      <x:c r="D311" s="45" t="str">
        <x:v>Robotic Manipulation: Manipulator Control</x:v>
      </x:c>
      <x:c r="E311" s="45" t="str">
        <x:v>Russ Tedrake / MIT</x:v>
      </x:c>
      <x:c r="F311" s="49" t="str">
        <x:v>미확인</x:v>
      </x:c>
      <x:c r="G311" s="49" t="n">
        <x:v>46282</x:v>
      </x:c>
      <x:c r="H311" s="45" t="str">
        <x:v>en</x:v>
      </x:c>
      <x:c r="I311" s="45" t="str">
        <x:v>1차 자료</x:v>
      </x:c>
      <x:c r="J311" s="45" t="str">
        <x:v>강의 원문. 위치·힘·임피던스 제어, 역동역학·작업 공간 제어의 일반 개념. 특정 제조사의 내부 제어 구현으로 추정하지 않음.</x:v>
      </x:c>
      <x:c r="K311" s="45" t="str">
        <x:v>https://manipulation.mit.edu/force.html</x:v>
      </x:c>
      <x:c r="L311" s="45" t="str"/>
      <x:c r="M311" s="45" t="str">
        <x:v>1~3장 기술</x:v>
      </x:c>
    </x:row>
    <x:row r="312" ht="24" hidden="0" customHeight="1">
      <x:c r="A312" s="2"/>
      <x:c r="B312" s="2"/>
      <x:c r="C312" s="45" t="str">
        <x:v>S306</x:v>
      </x:c>
      <x:c r="D312" s="45" t="str">
        <x:v>25.101 General — Buy American domestic end product test</x:v>
      </x:c>
      <x:c r="E312" s="45" t="str">
        <x:v>U.S. General Services Administration / Acquisition.gov</x:v>
      </x:c>
      <x:c r="F312" s="49" t="n">
        <x:v>46094</x:v>
      </x:c>
      <x:c r="G312" s="49" t="n">
        <x:v>46282</x:v>
      </x:c>
      <x:c r="H312" s="45" t="str">
        <x:v>en</x:v>
      </x:c>
      <x:c r="I312" s="45" t="str">
        <x:v>1차 자료</x:v>
      </x:c>
      <x:c r="J312" s="45" t="str">
        <x:v>페이지의 FAC 2026-01 효력일. FCC DA 26-786 부록 C가 인용하는 48 CFR 25.101(a)의 미국산 판정을 확인. 미국 내 제조 외 구성품 조건과 COTS·철강 등의 예외가 있으므로 최종 조립 장소만으로 자동 면제를 단정하지 않음.</x:v>
      </x:c>
      <x:c r="K312" s="45" t="str">
        <x:v>https://www.acquisition.gov/far/25.101</x:v>
      </x:c>
      <x:c r="L312" s="45" t="str"/>
      <x:c r="M312" s="45" t="str">
        <x:v>기술·시장·규제</x:v>
      </x:c>
    </x:row>
    <x:row r="313" ht="24" hidden="0" customHeight="1">
      <x:c r="A313" s="2"/>
      <x:c r="B313" s="2"/>
      <x:c r="C313" s="45" t="str">
        <x:v>S307</x:v>
      </x:c>
      <x:c r="D313" s="45" t="str">
        <x:v>Beyond the hype: the real economic upside of AI and robotics</x:v>
      </x:c>
      <x:c r="E313" s="45" t="str">
        <x:v>UBS Investment Bank</x:v>
      </x:c>
      <x:c r="F313" s="49" t="str">
        <x:v>2026</x:v>
      </x:c>
      <x:c r="G313" s="49" t="n">
        <x:v>46282</x:v>
      </x:c>
      <x:c r="H313" s="45" t="str">
        <x:v>en</x:v>
      </x:c>
      <x:c r="I313" s="45" t="str">
        <x:v>1차 자료</x:v>
      </x:c>
      <x:c r="J313" s="45" t="str">
        <x:v>Greater China Conference 2026 공개 설명. 정확한 게시 월일은 페이지에서 확인되지 않음. UBS 분석가의 2035년 200만 대 초과·2050년 3억 대 global population 전망을 확인. 연간 출하량이나 2차 인용 금액 전망의 전체 산출법으로 해석하지 않음.</x:v>
      </x:c>
      <x:c r="K313" s="45" t="str">
        <x:v>https://www.ubs.com/global/en/investment-bank/insights-and-data/articles/ai-and-robots.html</x:v>
      </x:c>
      <x:c r="L313" s="45" t="str"/>
      <x:c r="M313" s="45" t="str">
        <x:v>기술·시장·규제</x:v>
      </x:c>
    </x:row>
    <x:row r="314" ht="24" hidden="0" customHeight="1">
      <x:c r="A314" s="2"/>
      <x:c r="B314" s="2"/>
      <x:c r="C314" s="45" t="str">
        <x:v>S308</x:v>
      </x:c>
      <x:c r="D314" s="45" t="str">
        <x:v>휴머노이드 로봇 산업 분석 — 휴머노이드 로봇과 자동차, 미래로의 동행</x:v>
      </x:c>
      <x:c r="E314" s="45" t="str">
        <x:v>Deloitte Korea / Deloitte Insights</x:v>
      </x:c>
      <x:c r="F314" s="49" t="str">
        <x:v>2025-05</x:v>
      </x:c>
      <x:c r="G314" s="49" t="n">
        <x:v>46282</x:v>
      </x:c>
      <x:c r="H314" s="45" t="str">
        <x:v>ko</x:v>
      </x:c>
      <x:c r="I314" s="45" t="str">
        <x:v>1차 자료</x:v>
      </x:c>
      <x:c r="J314" s="45" t="str">
        <x:v>12쪽 공식 PDF. 4쪽의 2035년 약 380억 달러 그래프는 Goldman Sachs Research와 Deloitte Insights analysis를 출처로 표시함. 독립 예측으로 중복 집계하지 않는 근거이며, 오래된 기업 현황은 기준일의 실적 근거로 사용하지 않음.</x:v>
      </x:c>
      <x:c r="K314" s="45" t="str">
        <x:v>https://www.deloitte.com/content/dam/assets-zone1/kr/ko/docs/industries/technology-media-telecommunications/2025/humanoid-robotics-r.pdf</x:v>
      </x:c>
      <x:c r="L314" s="45" t="str"/>
      <x:c r="M314" s="45" t="str">
        <x:v>기술·시장·규제</x:v>
      </x:c>
    </x:row>
    <x:row r="315" ht="15" hidden="0" customHeight="1">
      <x:c r="A315" s="2"/>
      <x:c r="B315" s="2"/>
      <x:c r="C315" s="45" t="str">
        <x:v>S309</x:v>
      </x:c>
      <x:c r="D315" s="45" t="str">
        <x:v>Boston Dynamics products and service ecosystem</x:v>
      </x:c>
      <x:c r="E315" s="45" t="str">
        <x:v>Boston Dynamics</x:v>
      </x:c>
      <x:c r="F315" s="49" t="str">
        <x:v>미확인</x:v>
      </x:c>
      <x:c r="G315" s="49" t="n">
        <x:v>46282</x:v>
      </x:c>
      <x:c r="H315" s="45" t="str">
        <x:v>en</x:v>
      </x:c>
      <x:c r="I315" s="45" t="str">
        <x:v>1차 자료</x:v>
      </x:c>
      <x:c r="J315" s="45" t="str">
        <x:v>Spot/Stretch/Atlas와서비스구조확인. 기존로봇매출을Atlas로간주하지않음.</x:v>
      </x:c>
      <x:c r="K315" s="45" t="str">
        <x:v>https://bostondynamics.com/</x:v>
      </x:c>
      <x:c r="L315" s="45" t="str"/>
      <x:c r="M315" s="45" t="str">
        <x:v>4장 상용화</x:v>
      </x:c>
    </x:row>
    <x:row r="316" ht="24" hidden="0" customHeight="1">
      <x:c r="A316" s="2"/>
      <x:c r="B316" s="2"/>
      <x:c r="C316" s="45" t="str">
        <x:v>S310</x:v>
      </x:c>
      <x:c r="D316" s="45" t="str">
        <x:v>HMND 01 Alpha goes to work: Humanoid completes automotive manufacturing logistics POC with SAP and Martur Fompak</x:v>
      </x:c>
      <x:c r="E316" s="45" t="str">
        <x:v>Humanoid / SAP / Martur Fompak</x:v>
      </x:c>
      <x:c r="F316" s="49" t="n">
        <x:v>46111</x:v>
      </x:c>
      <x:c r="G316" s="49" t="n">
        <x:v>46282</x:v>
      </x:c>
      <x:c r="H316" s="45" t="str">
        <x:v>en</x:v>
      </x:c>
      <x:c r="I316" s="45" t="str">
        <x:v>1차 자료</x:v>
      </x:c>
      <x:c r="J316" s="45" t="str">
        <x:v>업무지시·탐색·운반·현장시스템연결POC. 확정반복매출근거아님.</x:v>
      </x:c>
      <x:c r="K316" s="45" t="str">
        <x:v>https://thehumanoid.ai/hmnd-01-alpha-goes-to-work-humanoid-completes-automotive-manufacturing-logistics-poc-with-sap-and-martur-fompak/</x:v>
      </x:c>
      <x:c r="L316" s="45" t="str"/>
      <x:c r="M316" s="45" t="str">
        <x:v>4장 상용화</x:v>
      </x:c>
    </x:row>
    <x:row r="317" ht="15" hidden="0" customHeight="1">
      <x:c r="A317" s="2"/>
      <x:c r="B317" s="2"/>
      <x:c r="C317" s="45" t="str">
        <x:v>S311</x:v>
      </x:c>
      <x:c r="D317" s="45" t="str">
        <x:v>Xpeng Inc ADR market quote</x:v>
      </x:c>
      <x:c r="E317" s="45" t="str">
        <x:v>Google Finance</x:v>
      </x:c>
      <x:c r="F317" s="49" t="n">
        <x:v>46281</x:v>
      </x:c>
      <x:c r="G317" s="49" t="n">
        <x:v>46282</x:v>
      </x:c>
      <x:c r="H317" s="45" t="str">
        <x:v>en</x:v>
      </x:c>
      <x:c r="I317" s="45" t="str">
        <x:v>1차 자료</x:v>
      </x:c>
      <x:c r="J317" s="45" t="str">
        <x:v>정규장 종가 USD10.34, Sep16 16:00:05GMT-4. 시간외10.39와 구분. 표시시총9.97bn과 shares783.72m은 정합성 미해결로 채택하지 않음.</x:v>
      </x:c>
      <x:c r="K317" s="45" t="str">
        <x:v>https://www.google.com/finance/quote/XPEV:NYSE</x:v>
      </x:c>
      <x:c r="L317" s="45" t="str"/>
      <x:c r="M317" s="45" t="str">
        <x:v>8장 투자</x:v>
      </x:c>
    </x:row>
    <x:row r="318" ht="15" hidden="0" customHeight="1">
      <x:c r="A318" s="2"/>
      <x:c r="B318" s="2"/>
      <x:c r="C318" s="45" t="str">
        <x:v>S312</x:v>
      </x:c>
      <x:c r="D318" s="45" t="str">
        <x:v>Xpeng Historical Data</x:v>
      </x:c>
      <x:c r="E318" s="45" t="str">
        <x:v>Investing.com</x:v>
      </x:c>
      <x:c r="F318" s="49" t="n">
        <x:v>46281</x:v>
      </x:c>
      <x:c r="G318" s="49" t="n">
        <x:v>46282</x:v>
      </x:c>
      <x:c r="H318" s="45" t="str">
        <x:v>en</x:v>
      </x:c>
      <x:c r="I318" s="45" t="str">
        <x:v>1차 자료</x:v>
      </x:c>
      <x:c r="J318" s="45" t="str">
        <x:v>Sep16본문행 Price10.34,Open10.29,High10.55,Low10.26. 검색요약10.44는 원문과 달라 사용하지 않음.</x:v>
      </x:c>
      <x:c r="K318" s="45" t="str">
        <x:v>https://www.investing.com/equities/xpeng-inc-historical-data</x:v>
      </x:c>
      <x:c r="L318" s="45" t="str"/>
      <x:c r="M318" s="45" t="str">
        <x:v>8장 투자</x:v>
      </x:c>
    </x:row>
  </x:sheetData>
  <x:pageMargins left="0.7" right="0.7" top="0.75" bottom="0.75" header="0.3" footer="0.3"/>
  <x:tableParts count="1">
    <x:tablePart xmlns:r="http://schemas.openxmlformats.org/officeDocument/2006/relationships" r:id="Rcde27b7ca80e4227"/>
  </x:tableParts>
</x:worksheet>
</file>

<file path=xl/worksheets/sheet11.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2" hidden="0" customWidth="1"/>
    <x:col min="2" max="2" width="2" hidden="0" customWidth="1"/>
    <x:col min="3" max="3" width="12" hidden="0" customWidth="1"/>
    <x:col min="4" max="4" width="22" hidden="0" customWidth="1"/>
    <x:col min="5" max="5" width="14" hidden="0" customWidth="1"/>
    <x:col min="6" max="6" width="56" hidden="0" customWidth="1"/>
    <x:col min="7" max="7" width="18" hidden="0" customWidth="1"/>
    <x:col min="8" max="8" width="85" hidden="0" customWidth="1"/>
    <x:col min="9" max="9" width="92" hidden="0" customWidth="1"/>
    <x:col min="10" max="10" width="29" hidden="0" customWidth="1"/>
    <x:col min="11" max="11" width="68" hidden="0" customWidth="1"/>
    <x:col min="12" max="12" width="73" hidden="0" customWidth="1"/>
    <x:col min="13" max="13" width="58" hidden="0" customWidth="1"/>
    <x:col min="14" max="14" width="80" hidden="0" customWidth="1"/>
    <x:col min="15" max="15" width="18" hidden="0" customWidth="1"/>
    <x:col min="16" max="16" width="18" hidden="0" customWidth="1"/>
  </x:cols>
  <x:sheetData>
    <x:row r="1" ht="24" customHeight="1">
      <x:c r="A1" s="2"/>
      <x:c r="B1" s="2"/>
      <x:c r="C1" s="2"/>
      <x:c r="D1" s="2"/>
      <x:c r="E1" s="2"/>
      <x:c r="F1" s="2"/>
      <x:c r="G1" s="2"/>
      <x:c r="H1" s="2"/>
      <x:c r="I1" s="2"/>
      <x:c r="J1" s="2"/>
      <x:c r="K1" s="2"/>
      <x:c r="L1" s="2"/>
      <x:c r="M1" s="2"/>
      <x:c r="N1" s="2"/>
      <x:c r="O1" s="2"/>
      <x:c r="P1" s="2"/>
    </x:row>
    <x:row r="2" ht="24" customHeight="1">
      <x:c r="A2" s="2"/>
      <x:c r="B2" s="2"/>
      <x:c r="C2" s="3" t="str">
        <x:v>미디어</x:v>
      </x:c>
      <x:c r="D2" s="3"/>
      <x:c r="E2" s="3"/>
      <x:c r="F2" s="3"/>
      <x:c r="G2" s="3"/>
      <x:c r="H2" s="3"/>
      <x:c r="I2" s="3"/>
      <x:c r="J2" s="3"/>
      <x:c r="K2" s="3"/>
      <x:c r="L2" s="3"/>
      <x:c r="M2" s="3"/>
      <x:c r="N2" s="3"/>
      <x:c r="O2" s="3"/>
      <x:c r="P2" s="3"/>
    </x:row>
    <x:row r="3" ht="24" customHeight="1">
      <x:c r="A3" s="2"/>
      <x:c r="B3" s="2"/>
      <x:c r="C3" s="2"/>
      <x:c r="D3" s="2"/>
      <x:c r="E3" s="2"/>
      <x:c r="F3" s="2"/>
      <x:c r="G3" s="2"/>
      <x:c r="H3" s="2"/>
      <x:c r="I3" s="2"/>
      <x:c r="J3" s="2"/>
      <x:c r="K3" s="2"/>
      <x:c r="L3" s="2"/>
      <x:c r="M3" s="2"/>
      <x:c r="N3" s="2"/>
      <x:c r="O3" s="2"/>
      <x:c r="P3" s="2"/>
    </x:row>
    <x:row r="4" ht="24" customHeight="1">
      <x:c r="A4" s="2"/>
      <x:c r="B4" s="2"/>
      <x:c r="C4" s="4" t="str">
        <x:v>공식 원본 연결 38개. 영상 링크·게시일·촬영일·자율성·무편집 여부를 별도로 확인합니다.</x:v>
      </x:c>
      <x:c r="D4" s="2"/>
      <x:c r="E4" s="2"/>
      <x:c r="F4" s="2"/>
      <x:c r="G4" s="2"/>
      <x:c r="H4" s="2"/>
      <x:c r="I4" s="2"/>
      <x:c r="J4" s="2"/>
      <x:c r="K4" s="2"/>
      <x:c r="L4" s="2"/>
      <x:c r="M4" s="2"/>
      <x:c r="N4" s="2"/>
      <x:c r="O4" s="2"/>
      <x:c r="P4" s="2"/>
    </x:row>
    <x:row r="5" ht="24" customHeight="1">
      <x:c r="A5" s="2"/>
      <x:c r="B5" s="2"/>
      <x:c r="C5" s="2"/>
      <x:c r="D5" s="2"/>
      <x:c r="E5" s="2"/>
      <x:c r="F5" s="2"/>
      <x:c r="G5" s="2"/>
      <x:c r="H5" s="2"/>
      <x:c r="I5" s="2"/>
      <x:c r="J5" s="2"/>
      <x:c r="K5" s="2"/>
      <x:c r="L5" s="2"/>
      <x:c r="M5" s="2"/>
      <x:c r="N5" s="2"/>
      <x:c r="O5" s="2"/>
      <x:c r="P5" s="2"/>
    </x:row>
    <x:row r="6" ht="34" customHeight="1">
      <x:c r="A6" s="2"/>
      <x:c r="B6" s="2"/>
      <x:c r="C6" s="8" t="str">
        <x:v>ID</x:v>
      </x:c>
      <x:c r="D6" s="8" t="str">
        <x:v>기업</x:v>
      </x:c>
      <x:c r="E6" s="8" t="str">
        <x:v>형식</x:v>
      </x:c>
      <x:c r="F6" s="8" t="str">
        <x:v>제목</x:v>
      </x:c>
      <x:c r="G6" s="8" t="str">
        <x:v>공개일</x:v>
      </x:c>
      <x:c r="H6" s="8" t="str">
        <x:v>공식 게시물</x:v>
      </x:c>
      <x:c r="I6" s="8" t="str">
        <x:v>원본 이미지·영상</x:v>
      </x:c>
      <x:c r="J6" s="8" t="str">
        <x:v>크레딧</x:v>
      </x:c>
      <x:c r="K6" s="8" t="str">
        <x:v>관찰한 내용</x:v>
      </x:c>
      <x:c r="L6" s="8" t="str">
        <x:v>입증하지 못한 내용</x:v>
      </x:c>
      <x:c r="M6" s="8" t="str">
        <x:v>재생·열람 검증</x:v>
      </x:c>
      <x:c r="N6" s="8" t="str">
        <x:v>이용 조건</x:v>
      </x:c>
      <x:c r="O6" s="8" t="str">
        <x:v>촬영일</x:v>
      </x:c>
      <x:c r="P6" s="8" t="str">
        <x:v>확인일</x:v>
      </x:c>
    </x:row>
    <x:row r="7" ht="24" hidden="0" customHeight="1">
      <x:c r="A7" s="2"/>
      <x:c r="B7" s="2"/>
      <x:c r="C7" s="45" t="str">
        <x:v>FM08</x:v>
      </x:c>
      <x:c r="D7" s="45" t="str">
        <x:v>Agility Robotics</x:v>
      </x:c>
      <x:c r="E7" s="45" t="str">
        <x:v>사진</x:v>
      </x:c>
      <x:c r="F7" s="45" t="str">
        <x:v>Digit 다섯 손가락 개발 영상 스틸</x:v>
      </x:c>
      <x:c r="G7" s="49" t="str">
        <x:v>미확인</x:v>
      </x:c>
      <x:c r="H7" s="45" t="str">
        <x:v>https://www.agilityrobotics.com/videos/digits-first-day-of-work-at-gxo</x:v>
      </x:c>
      <x:c r="I7" s="45" t="str">
        <x:v>https://cdn.prod.website-files.com/6980c63561bbbeb67b4b7ab5/6a3ad50fe53bc2672fbde57a_Agility_Video_Five-Fingered-Hands.jpg</x:v>
      </x:c>
      <x:c r="J7" s="45" t="str">
        <x:v>Agility Robotics</x:v>
      </x:c>
      <x:c r="K7" s="45" t="str">
        <x:v>청록색 상체의 기체가 손으로 흰색 컵을 잡은 모습. 원문 관련 영상 목록의 제목은 Innovation at Agility: Five-Fingered Hands.</x:v>
      </x:c>
      <x:c r="L7" s="45" t="str">
        <x:v>개발용 손의 자율 조작 성능·내구성 및 고객 설치 기체의 구성은 확인하지 못함. GXO 초기 사례와 세대를 섞지 않을 것.</x:v>
      </x:c>
      <x:c r="M7" s="45" t="str">
        <x:v>공식 출처 다운로드 및 정지 이미지 직접 열람</x:v>
      </x:c>
      <x:c r="N7" s="45" t="str">
        <x:v>원저작권은 해당 회사에 있음. 개인 조사·논평용 출처 표시 수록. 공개·상업 재배포 허가는 확인하지 않았음.</x:v>
      </x:c>
      <x:c r="O7" s="49" t="str">
        <x:v>미확인</x:v>
      </x:c>
      <x:c r="P7" s="49" t="n">
        <x:v>46282</x:v>
      </x:c>
    </x:row>
    <x:row r="8" ht="15" hidden="0" customHeight="1">
      <x:c r="A8" s="2"/>
      <x:c r="B8" s="2"/>
      <x:c r="C8" s="45" t="str">
        <x:v>FM07</x:v>
      </x:c>
      <x:c r="D8" s="45" t="str">
        <x:v>Apptronik</x:v>
      </x:c>
      <x:c r="E8" s="45" t="str">
        <x:v>사진</x:v>
      </x:c>
      <x:c r="F8" s="45" t="str">
        <x:v>Apollo 공식 홈페이지 영상 스틸</x:v>
      </x:c>
      <x:c r="G8" s="49" t="str">
        <x:v>미확인</x:v>
      </x:c>
      <x:c r="H8" s="45" t="str">
        <x:v>https://apptronik.com/</x:v>
      </x:c>
      <x:c r="I8" s="45" t="str">
        <x:v>https://cdn.prod.website-files.com/6a0dd86942776facbc2f6ba4%2F6a3c31aa4229fb0e38c437f1_Website-Header-v3-web_poster.0000000.jpg</x:v>
      </x:c>
      <x:c r="J8" s="45" t="str">
        <x:v>Apptronik</x:v>
      </x:c>
      <x:c r="K8" s="45" t="str">
        <x:v>APPTRONIK 표기가 있는 흰색 상체, 전방 카메라와 다섯 손가락이 보임. 홈페이지 배경 영상의 공식 poster 파일.</x:v>
      </x:c>
      <x:c r="L8" s="45" t="str">
        <x:v>작업 성공률·가동률·원격 개입 빈도·실패 시행 수·유상 계약·고객 원가 절감은 이 미디어만으로 확인할 수 없음.</x:v>
      </x:c>
      <x:c r="M8" s="45" t="str">
        <x:v>공식 출처 다운로드 및 정지 이미지 직접 열람</x:v>
      </x:c>
      <x:c r="N8" s="45" t="str">
        <x:v>원저작권은 해당 회사에 있음. 개인 조사·논평용 출처 표시 수록. 공개·상업 재배포 허가는 확인하지 않았음.</x:v>
      </x:c>
      <x:c r="O8" s="49" t="str">
        <x:v>미확인</x:v>
      </x:c>
      <x:c r="P8" s="49" t="n">
        <x:v>46282</x:v>
      </x:c>
    </x:row>
    <x:row r="9" ht="48" hidden="0" customHeight="1">
      <x:c r="A9" s="2"/>
      <x:c r="B9" s="2"/>
      <x:c r="C9" s="45" t="str">
        <x:v>KM01</x:v>
      </x:c>
      <x:c r="D9" s="45" t="str">
        <x:v>Boston Dynamics / 현대자동차그룹</x:v>
      </x:c>
      <x:c r="E9" s="45" t="str">
        <x:v>사진</x:v>
      </x:c>
      <x:c r="F9" s="45" t="str">
        <x:v>CES 2026 Atlas 시제품 무대 공개 스틸</x:v>
      </x:c>
      <x:c r="G9" s="49" t="n">
        <x:v>46028</x:v>
      </x:c>
      <x:c r="H9" s="45" t="str">
        <x:v>https://www.hyundaimotorgroup.com/en/tv/CONT0000000000198412</x:v>
      </x:c>
      <x:c r="I9" s="45" t="str">
        <x:v>https://www.hyundaimotorgroup.com/image/upload/asset_library/MDA00000000000074287/c6e32d6a74c64ebbba74cfa6cb1de83c.jpg</x:v>
      </x:c>
      <x:c r="J9" s="45" t="str">
        <x:v>Hyundai Motor Group / Boston Dynamics</x:v>
      </x:c>
      <x:c r="K9" s="45" t="str">
        <x:v>공식 영상 포스터 직접 열람: 무대에서 양팔을 위로 든 Atlas 시제품과 관객이 보인다. 2026 제품형 Atlas와 무대의 시제품을 구분한다.</x:v>
      </x:c>
      <x:c r="L9" s="45" t="str">
        <x:v>정지 스틸은 자율 동작, 제품형의 양산·납품, 제조업 생산성을 입증하지 않는다.</x:v>
      </x:c>
      <x:c r="M9" s="45" t="str">
        <x:v>공식 출처 파일 다운로드 및 정지 이미지 직접 열람</x:v>
      </x:c>
      <x:c r="N9" s="45" t="str">
        <x:v>summary: 공식 게시자가 제공한 공개 자료. 별도 자유 이용 허락은 확인되지 않음. 출처·크레딧을 표시한 연구·논평용 인용이며 외부 재배포 조건은 원문 기준.
terms_url: https://www.hyundaimotorgroup.com/en/tv/CONT0000000000198412
asset_id: 미확인</x:v>
      </x:c>
      <x:c r="O9" s="49" t="str">
        <x:v>미확인</x:v>
      </x:c>
      <x:c r="P9" s="49" t="n">
        <x:v>46282</x:v>
      </x:c>
    </x:row>
    <x:row r="10" ht="48" hidden="0" customHeight="1">
      <x:c r="A10" s="2"/>
      <x:c r="B10" s="2"/>
      <x:c r="C10" s="45" t="str">
        <x:v>FM01</x:v>
      </x:c>
      <x:c r="D10" s="45" t="str">
        <x:v>Figure</x:v>
      </x:c>
      <x:c r="E10" s="45" t="str">
        <x:v>사진</x:v>
      </x:c>
      <x:c r="F10" s="45" t="str">
        <x:v>BMW 생산설비 앞의 Figure 02</x:v>
      </x:c>
      <x:c r="G10" s="49" t="n">
        <x:v>45510</x:v>
      </x:c>
      <x:c r="H10" s="45" t="str">
        <x:v>https://www.press.bmwgroup.com/usa/article/detail/T0444268EN_US/successful-test-of-humanoid-robots-at-bmw-group-plant-spartanburg?language=en_US</x:v>
      </x:c>
      <x:c r="I10" s="45" t="str">
        <x:v>https://mediapool.bmwgroup.com/cache/P9/202408/P90563506/P90563506-figure02-bmw-group-plant-spartanburg-2666px.jpg</x:v>
      </x:c>
      <x:c r="J10" s="45" t="str">
        <x:v>BMW Group / BMW AG</x:v>
      </x:c>
      <x:c r="K10" s="45" t="str">
        <x:v>사진 직접 열람: F.02 표시 기체가 보호 울타리와 지그 앞에 서 있음. 정지 사진으로 주변 설비와 기체 형태를 확인.</x:v>
      </x:c>
      <x:c r="L10" s="45" t="str">
        <x:v>사진은 작업 수행, 자율성, 실제 라인 가동, 지속시간, 안전 인증 또는 생산성의 증거가 아님.</x:v>
      </x:c>
      <x:c r="M10" s="45" t="str">
        <x:v>공식 출처 다운로드 및 정지 이미지 직접 열람</x:v>
      </x:c>
      <x:c r="N10" s="45" t="str">
        <x:v>summary: PressClub은 보도 목적에 한정하고 상업 목적 복제·배포·변경을 제한. 무제한 재사용 라이선스 아님. 연구·논평 맥락 출처와 크레딧 표시; 외부 상업 배포 시 별도 조건 확인.
terms_url: https://www.press.bmwgroup.com/usa/info/legal
asset_id: P90563506</x:v>
      </x:c>
      <x:c r="O10" s="49" t="str">
        <x:v>미확인</x:v>
      </x:c>
      <x:c r="P10" s="49" t="n">
        <x:v>46282</x:v>
      </x:c>
    </x:row>
    <x:row r="11" ht="36" hidden="0" customHeight="1">
      <x:c r="A11" s="2"/>
      <x:c r="B11" s="2"/>
      <x:c r="C11" s="45" t="str">
        <x:v>FM02</x:v>
      </x:c>
      <x:c r="D11" s="45" t="str">
        <x:v>Figure</x:v>
      </x:c>
      <x:c r="E11" s="45" t="str">
        <x:v>사진</x:v>
      </x:c>
      <x:c r="F11" s="45" t="str">
        <x:v>BMW 운용 회고에 실린 Figure 손 사진</x:v>
      </x:c>
      <x:c r="G11" s="49" t="n">
        <x:v>45980</x:v>
      </x:c>
      <x:c r="H11" s="45" t="str">
        <x:v>https://www.figure.ai/news/production-at-bmw</x:v>
      </x:c>
      <x:c r="I11" s="45" t="str">
        <x:v>https://images.ctfassets.net/qx5k8y1u9drj/1rgCWPZcqd52zB9viPKmcF/4a570687605c87edc08992fb83153365/Hands-Photo_Update.jpg</x:v>
      </x:c>
      <x:c r="J11" s="45" t="str">
        <x:v>Figure AI</x:v>
      </x:c>
      <x:c r="K11" s="45" t="str">
        <x:v>사진 직접 열람: 로봇 손 두 개의 바깥쪽과 손바닥, 표면 긁힘·마모 흔적. 사진만으로 내부 보드·배선 구조는 보이지 않음.</x:v>
      </x:c>
      <x:c r="L11" s="45" t="str">
        <x:v>전완이 주요 고장 부위였다는 내용과 Figure03 회로 재설계는 본문 설명에 근거. 이 사진을 Figure02 대 Figure03 비교 사진으로 사용하면 안 됨. 촬영 기체와 실제 마모 원인은 독립 검증되지 않음.</x:v>
      </x:c>
      <x:c r="M11" s="45" t="str">
        <x:v>공식 출처 다운로드 및 정지 이미지 직접 열람</x:v>
      </x:c>
      <x:c r="N11" s="45" t="str">
        <x:v>summary: Figure 약관은 콘텐츠 personal use only로 규정하고 그 밖의 이용에 명시적 서면 허가 요구. 이번 개인 리서치 보고서 출처표시 활용; 공개·상업 배포 권한은 확보되지 않음.
terms_url: https://www.figure.ai/terms-and-conditions</x:v>
      </x:c>
      <x:c r="O11" s="49" t="str">
        <x:v>미확인</x:v>
      </x:c>
      <x:c r="P11" s="49" t="n">
        <x:v>46282</x:v>
      </x:c>
    </x:row>
    <x:row r="12" ht="60" hidden="0" customHeight="1">
      <x:c r="A12" s="2"/>
      <x:c r="B12" s="2"/>
      <x:c r="C12" s="45" t="str">
        <x:v>FM03</x:v>
      </x:c>
      <x:c r="D12" s="45" t="str">
        <x:v>Figure</x:v>
      </x:c>
      <x:c r="E12" s="45" t="str">
        <x:v>사진</x:v>
      </x:c>
      <x:c r="F12" s="45" t="str">
        <x:v>BMW 물류 현장의 Figure 03</x:v>
      </x:c>
      <x:c r="G12" s="49" t="n">
        <x:v>46198</x:v>
      </x:c>
      <x:c r="H12" s="45" t="str">
        <x:v>https://www.press.bmwgroup.com/global/article/detail/T0458778EN/bmw-group-advances-the-use-of-physical-ai-in-production-with-figure-03-project-in-spartanburg?language=en</x:v>
      </x:c>
      <x:c r="I12" s="45" t="str">
        <x:v>https://mediapool.bmwgroup.com/cache/P9/202606/P90646727/P90646727-humanoid-robot-figure-03-at-bmw-group-plant-spartanburg-2248px.jpg</x:v>
      </x:c>
      <x:c r="J12" s="45" t="str">
        <x:v>BMW Group / BMW AG</x:v>
      </x:c>
      <x:c r="K12" s="45" t="str">
        <x:v>사진 직접 열람: F.03 표시 기체가 두 손으로 검은 부품을 들고 있으며 뒤쪽에 다른 기체와 선반·컨테이너가 보임.</x:v>
      </x:c>
      <x:c r="L12" s="45" t="str">
        <x:v>정지 사진은 분류 업무의 연속 수행, 자율성, 속도, 장기 운영성과나 재주문을 증명하지 않음.</x:v>
      </x:c>
      <x:c r="M12" s="45" t="str">
        <x:v>공식 출처 다운로드 및 정지 이미지 직접 열람</x:v>
      </x:c>
      <x:c r="N12" s="45" t="str">
        <x:v>summary: BMW PressClub 보도 목적 전용 조건. 크레딧 BMW Group. 무제한 재사용 라이선스 아님.
terms_url: https://www.press.bmwgroup.com/global/info/legal
asset_id: P90646727
photo_page: https://www.press.bmwgroup.com/global/photo/detail/P90646727/humanoid-robot-figure-03-at-bmw-group-plant-spartanburg</x:v>
      </x:c>
      <x:c r="O12" s="49" t="str">
        <x:v>미확인</x:v>
      </x:c>
      <x:c r="P12" s="49" t="n">
        <x:v>46282</x:v>
      </x:c>
    </x:row>
    <x:row r="13" ht="24" hidden="0" customHeight="1">
      <x:c r="A13" s="2"/>
      <x:c r="B13" s="2"/>
      <x:c r="C13" s="45" t="str">
        <x:v>FM09</x:v>
      </x:c>
      <x:c r="D13" s="45" t="str">
        <x:v>Fourier</x:v>
      </x:c>
      <x:c r="E13" s="45" t="str">
        <x:v>사진</x:v>
      </x:c>
      <x:c r="F13" s="45" t="str">
        <x:v>GR-3 Fine Control 공식 영상 스틸</x:v>
      </x:c>
      <x:c r="G13" s="49" t="str">
        <x:v>미확인</x:v>
      </x:c>
      <x:c r="H13" s="45" t="str">
        <x:v>https://www.fftai.com/en/grx/gr3</x:v>
      </x:c>
      <x:c r="I13" s="45" t="str">
        <x:v>https://www.fftai.com/images/gr3/operation.jpg</x:v>
      </x:c>
      <x:c r="J13" s="45" t="str">
        <x:v>Fourier</x:v>
      </x:c>
      <x:c r="K13" s="45" t="str">
        <x:v>GR-3가 테이블 위 천에 손을 댄 모습. 상체 뒤에 줄·케이블이 보이고 화면에 Autonomous, 1X, Clean the table 문구가 표시됨.</x:v>
      </x:c>
      <x:c r="L13" s="45" t="str">
        <x:v>자율성 표시는 제작자의 주장. 외부 케이블의 기능·원격 개입·실패율·비정형 가정 일반화 성능은 정지 이미지로 검증 불가.</x:v>
      </x:c>
      <x:c r="M13" s="45" t="str">
        <x:v>공식 출처 다운로드 및 정지 이미지 직접 열람</x:v>
      </x:c>
      <x:c r="N13" s="45" t="str">
        <x:v>원저작권은 해당 회사에 있음. 개인 조사·논평용 출처 표시 수록. 공개·상업 재배포 허가는 확인하지 않았음.</x:v>
      </x:c>
      <x:c r="O13" s="49" t="str">
        <x:v>미확인</x:v>
      </x:c>
      <x:c r="P13" s="49" t="n">
        <x:v>46282</x:v>
      </x:c>
    </x:row>
    <x:row r="14" ht="60" hidden="0" customHeight="1">
      <x:c r="A14" s="2"/>
      <x:c r="B14" s="2"/>
      <x:c r="C14" s="45" t="str">
        <x:v>FM10</x:v>
      </x:c>
      <x:c r="D14" s="45" t="str">
        <x:v>Hexagon</x:v>
      </x:c>
      <x:c r="E14" s="45" t="str">
        <x:v>사진</x:v>
      </x:c>
      <x:c r="F14" s="45" t="str">
        <x:v>AEON–BMW Leipzig 공식 현장 사진</x:v>
      </x:c>
      <x:c r="G14" s="49" t="n">
        <x:v>46080</x:v>
      </x:c>
      <x:c r="H14" s="45" t="str">
        <x:v>https://www.press.bmwgroup.com/global/article/detail/T0455864EN/bmw-group-to-deploy-humanoid-robots-in-production-in-germany-for-the-first-time?language=en</x:v>
      </x:c>
      <x:c r="I14" s="45" t="str">
        <x:v>https://mediapool.bmwgroup.com/cache/P9/202602/P90630889/P90630889-humanoid-robotics-at-bmw-group-plant-leipzig-02-2026-2250px.jpg</x:v>
      </x:c>
      <x:c r="J14" s="45" t="str">
        <x:v>BMW Group / BMW AG</x:v>
      </x:c>
      <x:c r="K14" s="45" t="str">
        <x:v>AEON 표기 기체 양팔 끝에 공정용 그리퍼가 있고 앞쪽 트레이에는 부품이 정렬되어 있음.</x:v>
      </x:c>
      <x:c r="L14" s="45" t="str">
        <x:v>작업 성공률·가동률·원격 개입 빈도·실패 시행 수·유상 계약·고객 원가 절감은 이 미디어만으로 확인할 수 없음.</x:v>
      </x:c>
      <x:c r="M14" s="45" t="str">
        <x:v>공식 출처 다운로드 및 정지 이미지 직접 열람</x:v>
      </x:c>
      <x:c r="N14" s="45" t="str">
        <x:v>summary: BMW PressClub 보도 목적 전용 조건. 크레딧 BMW Group. 무제한 재사용 라이선스 아님.
terms_url: https://www.press.bmwgroup.com/global/info/legal
asset_id: P90646727
photo_page: https://www.press.bmwgroup.com/global/photo/detail/P90646727/humanoid-robot-figure-03-at-bmw-group-plant-spartanburg</x:v>
      </x:c>
      <x:c r="O14" s="49" t="str">
        <x:v>미확인</x:v>
      </x:c>
      <x:c r="P14" s="49" t="n">
        <x:v>46282</x:v>
      </x:c>
    </x:row>
    <x:row r="15" ht="60" hidden="0" customHeight="1">
      <x:c r="A15" s="2"/>
      <x:c r="B15" s="2"/>
      <x:c r="C15" s="45" t="str">
        <x:v>KM04</x:v>
      </x:c>
      <x:c r="D15" s="45" t="str">
        <x:v>KAIST / Rainbow Robotics</x:v>
      </x:c>
      <x:c r="E15" s="45" t="str">
        <x:v>사진</x:v>
      </x:c>
      <x:c r="F15" s="45" t="str">
        <x:v>DRC-Hubo의 2015년 재난 대응 대회 현장</x:v>
      </x:c>
      <x:c r="G15" s="49" t="n">
        <x:v>45841</x:v>
      </x:c>
      <x:c r="H15" s="45" t="str">
        <x:v>https://www.dvidshub.net/image/9146932/team-kaists-robot-wins-darpa-robotics-challenge-with-wall-cutting-tool</x:v>
      </x:c>
      <x:c r="I15" s="45" t="str">
        <x:v>https://d1ldvf68ux039x.cloudfront.net/thumbs/photos/2507/9146932/1000w_q95.jpg</x:v>
      </x:c>
      <x:c r="J15" s="45" t="str">
        <x:v>DARPA photo / DVIDS, Photo ID 9146932</x:v>
      </x:c>
      <x:c r="K15" s="45" t="str">
        <x:v>미국 정부 기록 사진 직접 열람: DRC-Hubo가 무릎을 굽힌 형태로 벽 앞에 위치하고 공구를 사용한다. 2015년 대회 기록이며 2026년 산업 현장 사진이 아니다.</x:v>
      </x:c>
      <x:c r="L15" s="45" t="str">
        <x:v>역사적 대회 사진은 현재 제품의 범용 자율성, 생산량·고객 경제성을 입증하지 않는다.</x:v>
      </x:c>
      <x:c r="M15" s="45" t="str">
        <x:v>공식 출처 파일 다운로드 및 정지 이미지 직접 열람</x:v>
      </x:c>
      <x:c r="N15" s="45" t="str">
        <x:v>summary: DVIDS 개별 페이지 PUBLIC DOMAIN 표기. 공개 미리보기 사용. 기관의 보증·추천을 뜻하지 않으며 인물·상표권 등의 별도 권리는 면제되지 않음. The appearance of U.S. Department of War (DoW) visual information does not imply or constitute DoW endorsement.
terms_url: https://www.dvidshub.net/about/copyright
asset_id: 9146932 / 150604-D-D0439-3995</x:v>
      </x:c>
      <x:c r="O15" s="49" t="str">
        <x:v>2015-06: 페이지 메타데이터 06-04와 캡션 결선 06-05~06의 차이 존재; 특정 촬영일 확정하지 않음</x:v>
      </x:c>
      <x:c r="P15" s="49" t="n">
        <x:v>46282</x:v>
      </x:c>
    </x:row>
    <x:row r="16" ht="48" hidden="0" customHeight="1">
      <x:c r="A16" s="2"/>
      <x:c r="B16" s="2"/>
      <x:c r="C16" s="45" t="str">
        <x:v>KM02</x:v>
      </x:c>
      <x:c r="D16" s="45" t="str">
        <x:v>Tesollo</x:v>
      </x:c>
      <x:c r="E16" s="45" t="str">
        <x:v>사진</x:v>
      </x:c>
      <x:c r="F16" s="45" t="str">
        <x:v>DG-5F-M 손 안 조작 연구 영상 스틸</x:v>
      </x:c>
      <x:c r="G16" s="49" t="n">
        <x:v>46211</x:v>
      </x:c>
      <x:c r="H16" s="45" t="str">
        <x:v>https://www.tesollo.com/news/videos/dg-5f-m-robotic-hand-ai-based-in-hand-manipulation</x:v>
      </x:c>
      <x:c r="I16" s="45" t="str">
        <x:v>https://cdn.tesollo.com/site/content/2026/08/f31c87a5-48f5-42a9-95c9-2ee2758c66f2.webp</x:v>
      </x:c>
      <x:c r="J16" s="45" t="str">
        <x:v>TESOLLO</x:v>
      </x:c>
      <x:c r="K16" s="45" t="str">
        <x:v>공식 스틸 직접 열람: 다지 손이 투명 상자를 잡고 있으며, 힘 센서 표시와 정책학습 설명 자막이 함께 있다. 실사 위에 측정 화면·자막이 합성된 공식 공개본이다.</x:v>
      </x:c>
      <x:c r="L16" s="45" t="str">
        <x:v>사진으로 힘 측정의 정확도, 학습 성공률, 미학습 물체 일반화, 장시간 내구성은 입증되지 않는다.</x:v>
      </x:c>
      <x:c r="M16" s="45" t="str">
        <x:v>공식 출처 파일 다운로드 및 정지 이미지 직접 열람</x:v>
      </x:c>
      <x:c r="N16" s="45" t="str">
        <x:v>summary: 공식 게시자가 제공한 공개 자료. 별도 자유 이용 허락은 확인되지 않음. 출처·크레딧을 표시한 연구·논평용 인용이며 외부 재배포 조건은 원문 기준.
terms_url: https://www.tesollo.com/news/videos/dg-5f-m-robotic-hand-ai-based-in-hand-manipulation
asset_id: 미확인</x:v>
      </x:c>
      <x:c r="O16" s="49" t="str">
        <x:v>미확인</x:v>
      </x:c>
      <x:c r="P16" s="49" t="n">
        <x:v>46282</x:v>
      </x:c>
    </x:row>
    <x:row r="17" ht="60" hidden="0" customHeight="1">
      <x:c r="A17" s="2"/>
      <x:c r="B17" s="2"/>
      <x:c r="C17" s="45" t="str">
        <x:v>KM03</x:v>
      </x:c>
      <x:c r="D17" s="45" t="str">
        <x:v>Tesollo</x:v>
      </x:c>
      <x:c r="E17" s="45" t="str">
        <x:v>사진</x:v>
      </x:c>
      <x:c r="F17" s="45" t="str">
        <x:v>ICRA 2026 전시 부스의 양팔·다지 손 통합 스틸</x:v>
      </x:c>
      <x:c r="G17" s="49" t="n">
        <x:v>46175</x:v>
      </x:c>
      <x:c r="H17" s="45" t="str">
        <x:v>https://www.tesollo.com/news/videos/tesollo-icra-2026-booth-tour-robotic-hands-grippers-humanoid-vla-teleoperation</x:v>
      </x:c>
      <x:c r="I17" s="45" t="str">
        <x:v>https://cdn.tesollo.com/site/content/2026/08/fee39bd8-428d-4fd3-bb56-7ba2c1fd6b48.webp</x:v>
      </x:c>
      <x:c r="J17" s="45" t="str">
        <x:v>TESOLLO</x:v>
      </x:c>
      <x:c r="K17" s="45" t="str">
        <x:v>공식 스틸 직접 열람: 전시 부스에서 다지 손을 단 양팔 상체와 탁상 물체가 보인다. 전시 실물의 구성과 통합 형태를 확인할 수 있다.</x:v>
      </x:c>
      <x:c r="L17" s="45" t="str">
        <x:v>전시 스틸은 자율 작업 완료, 상체 완성체의 제조사, 고객 납품, 매출 또는 양산 독점 공급을 입증하지 않는다.</x:v>
      </x:c>
      <x:c r="M17" s="45" t="str">
        <x:v>공식 출처 파일 다운로드 및 정지 이미지 직접 열람</x:v>
      </x:c>
      <x:c r="N17" s="45" t="str">
        <x:v>summary: 공식 게시자가 제공한 공개 자료. 별도 자유 이용 허락은 확인되지 않음. 출처·크레딧을 표시한 연구·논평용 인용이며 외부 재배포 조건은 원문 기준.
terms_url: https://www.tesollo.com/news/videos/tesollo-icra-2026-booth-tour-robotic-hands-grippers-humanoid-vla-teleoperation
asset_id: 미확인</x:v>
      </x:c>
      <x:c r="O17" s="49" t="str">
        <x:v>미확인</x:v>
      </x:c>
      <x:c r="P17" s="49" t="n">
        <x:v>46282</x:v>
      </x:c>
    </x:row>
    <x:row r="18" ht="24" hidden="0" customHeight="1">
      <x:c r="A18" s="2"/>
      <x:c r="B18" s="2"/>
      <x:c r="C18" s="45" t="str">
        <x:v>FM05</x:v>
      </x:c>
      <x:c r="D18" s="45" t="str">
        <x:v>UBTECH</x:v>
      </x:c>
      <x:c r="E18" s="45" t="str">
        <x:v>사진</x:v>
      </x:c>
      <x:c r="F18" s="45" t="str">
        <x:v>Walker S1–BYD 물류 적용 공식 사진</x:v>
      </x:c>
      <x:c r="G18" s="49" t="str">
        <x:v>미확인</x:v>
      </x:c>
      <x:c r="H18" s="45" t="str">
        <x:v>https://www.ubtrobot.com/en/humanoid/solutions/industry</x:v>
      </x:c>
      <x:c r="I18" s="45" t="str">
        <x:v>https://owebsite-cdn.ubtrobot.com/resources/image/2024/11/19/613880649162821.jpg</x:v>
      </x:c>
      <x:c r="J18" s="45" t="str">
        <x:v>UBTECH</x:v>
      </x:c>
      <x:c r="K18" s="45" t="str">
        <x:v>사진 후방에서 로봇이 컨테이너를 들고 있으며 전방에 UQI 표기의 물류 차량이 보임. 파일명과 원문은 BYD 적용 사례로 연결.</x:v>
      </x:c>
      <x:c r="L18" s="45" t="str">
        <x:v>작업 성공률·가동률·원격 개입 빈도·실패 시행 수·유상 계약·고객 원가 절감은 이 미디어만으로 확인할 수 없음. 회사 페이지의 주장과 사진의 직접 관찰은 구분. 이미지 경로의 2024/11/19는 최초 공개일로 확정하지 않음.</x:v>
      </x:c>
      <x:c r="M18" s="45" t="str">
        <x:v>공식 출처 다운로드 및 정지 이미지 직접 열람</x:v>
      </x:c>
      <x:c r="N18" s="45" t="str">
        <x:v>원저작권은 해당 회사에 있음. 개인 조사·논평용 출처 표시 수록. 공개·상업 재배포 허가는 확인하지 않았음.</x:v>
      </x:c>
      <x:c r="O18" s="49" t="str">
        <x:v>미확인</x:v>
      </x:c>
      <x:c r="P18" s="49" t="n">
        <x:v>46282</x:v>
      </x:c>
    </x:row>
    <x:row r="19" ht="15" hidden="0" customHeight="1">
      <x:c r="A19" s="2"/>
      <x:c r="B19" s="2"/>
      <x:c r="C19" s="45" t="str">
        <x:v>FM04</x:v>
      </x:c>
      <x:c r="D19" s="45" t="str">
        <x:v>Unitree</x:v>
      </x:c>
      <x:c r="E19" s="45" t="str">
        <x:v>사진</x:v>
      </x:c>
      <x:c r="F19" s="45" t="str">
        <x:v>G1 공식 시연 영상 스틸</x:v>
      </x:c>
      <x:c r="G19" s="49" t="str">
        <x:v>미확인</x:v>
      </x:c>
      <x:c r="H19" s="45" t="str">
        <x:v>https://www.unitree.com/g1/</x:v>
      </x:c>
      <x:c r="I19" s="45" t="str">
        <x:v>https://www.unitree.com/images/4a3dc51a7edb45bb9e9e0d1d240d8cd0_1920x1080.jpg</x:v>
      </x:c>
      <x:c r="J19" s="45" t="str">
        <x:v>Unitree</x:v>
      </x:c>
      <x:c r="K19" s="45" t="str">
        <x:v>UNITREE 표기 기체가 실내에서 한 팔을 올린 자세. 배경에 사무 집기와 상자가 보임.</x:v>
      </x:c>
      <x:c r="L19" s="45" t="str">
        <x:v>작업 성공률·가동률·원격 개입 빈도·실패 시행 수·유상 계약·고객 원가 절감은 이 미디어만으로 확인할 수 없음.</x:v>
      </x:c>
      <x:c r="M19" s="45" t="str">
        <x:v>공식 출처 다운로드 및 정지 이미지 직접 열람</x:v>
      </x:c>
      <x:c r="N19" s="45" t="str">
        <x:v>원저작권은 해당 회사에 있음. 개인 조사·논평용 출처 표시 수록. 공개·상업 재배포 허가는 확인하지 않았음.</x:v>
      </x:c>
      <x:c r="O19" s="49" t="str">
        <x:v>미확인</x:v>
      </x:c>
      <x:c r="P19" s="49" t="n">
        <x:v>46282</x:v>
      </x:c>
    </x:row>
    <x:row r="20" ht="15" hidden="0" customHeight="1">
      <x:c r="A20" s="2"/>
      <x:c r="B20" s="2"/>
      <x:c r="C20" s="45" t="str">
        <x:v>FM06</x:v>
      </x:c>
      <x:c r="D20" s="45" t="str">
        <x:v>XPeng</x:v>
      </x:c>
      <x:c r="E20" s="45" t="str">
        <x:v>사진</x:v>
      </x:c>
      <x:c r="F20" s="45" t="str">
        <x:v>IRON 생산라인 가동 기념 공식 사진</x:v>
      </x:c>
      <x:c r="G20" s="49" t="n">
        <x:v>46273</x:v>
      </x:c>
      <x:c r="H20" s="45" t="str">
        <x:v>https://www.xpeng.com/news</x:v>
      </x:c>
      <x:c r="I20" s="45" t="str">
        <x:v>https://s-cdn.xpeng.com/commoncms/prod/2026-09-08/393d1925d88747e9b9fa107012b9b54f.png?name=IRON+PRODUCTION+LINE</x:v>
      </x:c>
      <x:c r="J20" s="45" t="str">
        <x:v>XPeng</x:v>
      </x:c>
      <x:c r="K20" s="45" t="str">
        <x:v>공장 안에서 다수 직원과 기체가 함께 서 있는 단체 사진. 앞 안내판에 로봇 생산라인 공식 가동 행사라는 중국어 표기가 보임.</x:v>
      </x:c>
      <x:c r="L20" s="45" t="str">
        <x:v>이 사진은 생산능력·생산수율·연간 출하·고객 현장 가동을 증명하지 않음. 회사 발표는 첫 생산라인 완성을 설명.</x:v>
      </x:c>
      <x:c r="M20" s="45" t="str">
        <x:v>공식 출처 다운로드 및 정지 이미지 직접 열람</x:v>
      </x:c>
      <x:c r="N20" s="45" t="str">
        <x:v>원저작권은 해당 회사에 있음. 개인 조사·논평용 출처 표시 수록. 공개·상업 재배포 허가는 확인하지 않았음.</x:v>
      </x:c>
      <x:c r="O20" s="49" t="str">
        <x:v>미확인</x:v>
      </x:c>
      <x:c r="P20" s="49" t="n">
        <x:v>46282</x:v>
      </x:c>
    </x:row>
    <x:row r="21" ht="24" hidden="0" customHeight="1">
      <x:c r="A21" s="2"/>
      <x:c r="B21" s="2"/>
      <x:c r="C21" s="45" t="str">
        <x:v>FV09</x:v>
      </x:c>
      <x:c r="D21" s="45" t="str">
        <x:v>1X</x:v>
      </x:c>
      <x:c r="E21" s="45" t="str">
        <x:v>동영상</x:v>
      </x:c>
      <x:c r="F21" s="45" t="str">
        <x:v>NEO The Home Robot | Order Today</x:v>
      </x:c>
      <x:c r="G21" s="49" t="n">
        <x:v>45958</x:v>
      </x:c>
      <x:c r="H21" s="45" t="str">
        <x:v>https://www.1x.tech/neo</x:v>
      </x:c>
      <x:c r="I21" s="45" t="str">
        <x:v>https://www.youtube.com/watch?v=LTYMWadOW7c</x:v>
      </x:c>
      <x:c r="J21" s="45" t="str">
        <x:v>1X</x:v>
      </x:c>
      <x:c r="K21" s="45" t="str">
        <x:v>공식 NEO 제품 페이지가 이 YouTube ID를 직접 연결함. 원본 영상 링크만 수록, press gallery 다운로드 조건을 수락하지 않음.</x:v>
      </x:c>
      <x:c r="L21" s="45" t="str">
        <x:v>작업 성공률·가동률·원격 개입 빈도·실패 시행 수·유상 계약·고객 원가 절감은 이 미디어만으로 확인할 수 없음.</x:v>
      </x:c>
      <x:c r="M21" s="45" t="str">
        <x:v>공식 페이지/공식 연결 확인; 영상 전체 재생 검증 안 함</x:v>
      </x:c>
      <x:c r="N21" s="45" t="str">
        <x:v>공식 원본 영상 링크 제공. 재업로드·복제 허가를 확보하지 않았음. 1X press 자산은 별도의 언론 용도·크레딧 제한이 있어 이 보고서에 다운로드하지 않음.</x:v>
      </x:c>
      <x:c r="O21" s="49" t="str">
        <x:v>미확인</x:v>
      </x:c>
      <x:c r="P21" s="49" t="n">
        <x:v>46282</x:v>
      </x:c>
    </x:row>
    <x:row r="22" ht="24" hidden="0" customHeight="1">
      <x:c r="A22" s="2"/>
      <x:c r="B22" s="2"/>
      <x:c r="C22" s="45" t="str">
        <x:v>FV13</x:v>
      </x:c>
      <x:c r="D22" s="45" t="str">
        <x:v>AGIBOT</x:v>
      </x:c>
      <x:c r="E22" s="45" t="str">
        <x:v>동영상</x:v>
      </x:c>
      <x:c r="F22" s="45" t="str">
        <x:v>Longcheer 생산라인 라이브: Day 1</x:v>
      </x:c>
      <x:c r="G22" s="49" t="n">
        <x:v>46196</x:v>
      </x:c>
      <x:c r="H22" s="45" t="str">
        <x:v>https://www.agibot.com/article/231/detail/83.html</x:v>
      </x:c>
      <x:c r="I22" s="45" t="str">
        <x:v>https://www.youtube.com/live/WKkfB-1YyGk</x:v>
      </x:c>
      <x:c r="J22" s="45" t="str">
        <x:v>AGIBOT</x:v>
      </x:c>
      <x:c r="K22" s="45" t="str">
        <x:v>AGIBOT 공식 보도자료와 공식 채널 명칭으로 표시된 Day 1 라이브 검색 결과를 대조. 전체 라이브 영상은 재생·개입 전수 코딩하지 못함.</x:v>
      </x:c>
      <x:c r="L22" s="45" t="str">
        <x:v>99.99%는 회사 발표 지표이며 독립 감사 결과가 아님. 6일×24시간 무중단, 무개입, 작업수=완제품수, 기체 1대 성과로 해석 불가.</x:v>
      </x:c>
      <x:c r="M22" s="45" t="str">
        <x:v>공식 페이지/공식 연결 확인; 영상 전체 재생 검증 안 함</x:v>
      </x:c>
      <x:c r="N22" s="45" t="str">
        <x:v>원저작권은 해당 회사에 있음. 개인 조사·논평용 출처 표시 수록. 공개·상업 재배포 허가는 확인하지 않았음.</x:v>
      </x:c>
      <x:c r="O22" s="49" t="str">
        <x:v>미확인</x:v>
      </x:c>
      <x:c r="P22" s="49" t="n">
        <x:v>46282</x:v>
      </x:c>
    </x:row>
    <x:row r="23" ht="15" hidden="0" customHeight="1">
      <x:c r="A23" s="2"/>
      <x:c r="B23" s="2"/>
      <x:c r="C23" s="45" t="str">
        <x:v>FV05</x:v>
      </x:c>
      <x:c r="D23" s="45" t="str">
        <x:v>Agility Robotics</x:v>
      </x:c>
      <x:c r="E23" s="45" t="str">
        <x:v>동영상</x:v>
      </x:c>
      <x:c r="F23" s="45" t="str">
        <x:v>Digit's First Day of Work at GXO</x:v>
      </x:c>
      <x:c r="G23" s="49" t="n">
        <x:v>45470</x:v>
      </x:c>
      <x:c r="H23" s="45" t="str">
        <x:v>https://www.agilityrobotics.com/videos/digits-first-day-of-work-at-gxo</x:v>
      </x:c>
      <x:c r="I23" s="45" t="str">
        <x:v>https://www.youtube.com/watch?v=AJpTpUqjgrY</x:v>
      </x:c>
      <x:c r="J23" s="45" t="str">
        <x:v>Agility Robotics</x:v>
      </x:c>
      <x:c r="K23" s="45" t="str">
        <x:v>공식 Agility 페이지 HTML의 YouTube embed ID AJpTpUqjgrY 확인. 영상 전체 재생 검증 안 함.</x:v>
      </x:c>
      <x:c r="L23" s="45" t="str">
        <x:v>작업 성공률·가동률·원격 개입 빈도·실패 시행 수·유상 계약·고객 원가 절감은 이 미디어만으로 확인할 수 없음.</x:v>
      </x:c>
      <x:c r="M23" s="45" t="str">
        <x:v>공식 페이지/공식 연결 확인; 영상 전체 재생 검증 안 함</x:v>
      </x:c>
      <x:c r="N23" s="45" t="str">
        <x:v>원저작권은 해당 회사에 있음. 개인 조사·논평용 출처 표시 수록. 공개·상업 재배포 허가는 확인하지 않았음.</x:v>
      </x:c>
      <x:c r="O23" s="49" t="str">
        <x:v>미확인</x:v>
      </x:c>
      <x:c r="P23" s="49" t="n">
        <x:v>46282</x:v>
      </x:c>
    </x:row>
    <x:row r="24" ht="15" hidden="0" customHeight="1">
      <x:c r="A24" s="2"/>
      <x:c r="B24" s="2"/>
      <x:c r="C24" s="45" t="str">
        <x:v>FV06</x:v>
      </x:c>
      <x:c r="D24" s="45" t="str">
        <x:v>Apptronik</x:v>
      </x:c>
      <x:c r="E24" s="45" t="str">
        <x:v>동영상</x:v>
      </x:c>
      <x:c r="F24" s="45" t="str">
        <x:v>Apollo 공식 소개 영상</x:v>
      </x:c>
      <x:c r="G24" s="49" t="str">
        <x:v>미확인</x:v>
      </x:c>
      <x:c r="H24" s="45" t="str">
        <x:v>https://apptronik.com/</x:v>
      </x:c>
      <x:c r="I24" s="45" t="str">
        <x:v>https://vimeo.com/1205665714/01e78aa770</x:v>
      </x:c>
      <x:c r="J24" s="45" t="str">
        <x:v>Apptronik</x:v>
      </x:c>
      <x:c r="K24" s="45" t="str">
        <x:v>공식 홈페이지 HTML에서 Vimeo 1205665714/01e78aa770 연결 확인. 제품 소개 영상과 고객의 실제 수익성 자료는 다름.</x:v>
      </x:c>
      <x:c r="L24" s="45" t="str">
        <x:v>작업 성공률·가동률·원격 개입 빈도·실패 시행 수·유상 계약·고객 원가 절감은 이 미디어만으로 확인할 수 없음.</x:v>
      </x:c>
      <x:c r="M24" s="45" t="str">
        <x:v>공식 페이지/공식 연결 확인; 영상 전체 재생 검증 안 함</x:v>
      </x:c>
      <x:c r="N24" s="45" t="str">
        <x:v>원저작권은 해당 회사에 있음. 개인 조사·논평용 출처 표시 수록. 공개·상업 재배포 허가는 확인하지 않았음.</x:v>
      </x:c>
      <x:c r="O24" s="49" t="str">
        <x:v>미확인</x:v>
      </x:c>
      <x:c r="P24" s="49" t="n">
        <x:v>46282</x:v>
      </x:c>
    </x:row>
    <x:row r="25" ht="24" hidden="0" customHeight="1">
      <x:c r="A25" s="2"/>
      <x:c r="B25" s="2"/>
      <x:c r="C25" s="45" t="str">
        <x:v>FV07</x:v>
      </x:c>
      <x:c r="D25" s="45" t="str">
        <x:v>Boston Dynamics</x:v>
      </x:c>
      <x:c r="E25" s="45" t="str">
        <x:v>동영상</x:v>
      </x:c>
      <x:c r="F25" s="45" t="str">
        <x:v>Atlas Goes Hands On</x:v>
      </x:c>
      <x:c r="G25" s="49" t="str">
        <x:v>미확인</x:v>
      </x:c>
      <x:c r="H25" s="45" t="str">
        <x:v>https://bostondynamics.com/video/atlas-goes-hands-on/</x:v>
      </x:c>
      <x:c r="I25" s="45" t="str">
        <x:v>미확인</x:v>
      </x:c>
      <x:c r="J25" s="45" t="str">
        <x:v>Boston Dynamics</x:v>
      </x:c>
      <x:c r="K25" s="45" t="str">
        <x:v>공식 설명은 사전 지정 또는 원격조종 동작이 없다고 명시. 00:36과 01:24 시각은 회사가 제시한 설명이며 이번 조사에서 해당 구간 직접 재생 확인은 하지 않음.</x:v>
      </x:c>
      <x:c r="L25" s="45" t="str">
        <x:v>작업 성공률·가동률·원격 개입 빈도·실패 시행 수·유상 계약·고객 원가 절감은 이 미디어만으로 확인할 수 없음.</x:v>
      </x:c>
      <x:c r="M25" s="45" t="str">
        <x:v>공식 페이지/공식 연결 확인; 영상 전체 재생 검증 안 함</x:v>
      </x:c>
      <x:c r="N25" s="45" t="str">
        <x:v>원저작권은 해당 회사에 있음. 개인 조사·논평용 출처 표시 수록. 공개·상업 재배포 허가는 확인하지 않았음.</x:v>
      </x:c>
      <x:c r="O25" s="49" t="str">
        <x:v>미확인</x:v>
      </x:c>
      <x:c r="P25" s="49" t="n">
        <x:v>46282</x:v>
      </x:c>
    </x:row>
    <x:row r="26" ht="15" hidden="0" customHeight="1">
      <x:c r="A26" s="2"/>
      <x:c r="B26" s="2"/>
      <x:c r="C26" s="45" t="str">
        <x:v>FV08</x:v>
      </x:c>
      <x:c r="D26" s="45" t="str">
        <x:v>Boston Dynamics</x:v>
      </x:c>
      <x:c r="E26" s="45" t="str">
        <x:v>동영상</x:v>
      </x:c>
      <x:c r="F26" s="45" t="str">
        <x:v>All New Atlas: 전기식 세대 공개</x:v>
      </x:c>
      <x:c r="G26" s="49" t="n">
        <x:v>45399</x:v>
      </x:c>
      <x:c r="H26" s="45" t="str">
        <x:v>https://bostondynamics.com/blog/electric-new-era-for-atlas/</x:v>
      </x:c>
      <x:c r="I26" s="45" t="str">
        <x:v>https://www.youtube.com/watch?v=29ECwExc-_M</x:v>
      </x:c>
      <x:c r="J26" s="45" t="str">
        <x:v>Boston Dynamics</x:v>
      </x:c>
      <x:c r="K26" s="45" t="str">
        <x:v>공식 블로그와 공개 영상 연결은 기존 조사에서 확인. 최신 제품 버전의 사양으로 대체해서 해석하면 안 됨.</x:v>
      </x:c>
      <x:c r="L26" s="45" t="str">
        <x:v>작업 성공률·가동률·원격 개입 빈도·실패 시행 수·유상 계약·고객 원가 절감은 이 미디어만으로 확인할 수 없음.</x:v>
      </x:c>
      <x:c r="M26" s="45" t="str">
        <x:v>공식 페이지/공식 연결 확인; 영상 전체 재생 검증 안 함</x:v>
      </x:c>
      <x:c r="N26" s="45" t="str">
        <x:v>원저작권은 해당 회사에 있음. 개인 조사·논평용 출처 표시 수록. 공개·상업 재배포 허가는 확인하지 않았음.</x:v>
      </x:c>
      <x:c r="O26" s="49" t="str">
        <x:v>미확인</x:v>
      </x:c>
      <x:c r="P26" s="49" t="n">
        <x:v>46282</x:v>
      </x:c>
    </x:row>
    <x:row r="27" ht="48" hidden="0" customHeight="1">
      <x:c r="A27" s="2"/>
      <x:c r="B27" s="2"/>
      <x:c r="C27" s="45" t="str">
        <x:v>KV01</x:v>
      </x:c>
      <x:c r="D27" s="45" t="str">
        <x:v>Boston Dynamics / 현대자동차그룹</x:v>
      </x:c>
      <x:c r="E27" s="45" t="str">
        <x:v>동영상</x:v>
      </x:c>
      <x:c r="F27" s="45" t="str">
        <x:v>CES 2026 Highlights | Atlas Makes Its Debut</x:v>
      </x:c>
      <x:c r="G27" s="49" t="n">
        <x:v>46028</x:v>
      </x:c>
      <x:c r="H27" s="45" t="str">
        <x:v>https://www.hyundaimotorgroup.com/en/tv/CONT0000000000198412</x:v>
      </x:c>
      <x:c r="I27" s="45" t="str">
        <x:v>미확인</x:v>
      </x:c>
      <x:c r="J27" s="45" t="str">
        <x:v>Hyundai Motor Group</x:v>
      </x:c>
      <x:c r="K27" s="45" t="str">
        <x:v>공식 HMG 영상 게시 페이지와 Atlas 포스터를 확인. 전체 재생 미확인. 무대 공개의 시제품과 제품형의 상용 계획을 분리해 읽는다.</x:v>
      </x:c>
      <x:c r="L27" s="45" t="str">
        <x:v>자율 운용, 장시간 가동, 납품·매출을 입증하지 않는다. 페이지 공용 HTML의 무관한 YouTube 임베드는 제외했다.</x:v>
      </x:c>
      <x:c r="M27" s="45" t="str">
        <x:v>공식 페이지 제목·포스터 직접 확인; 재생 미확인; 올바른 영상임을 확인하지 못한 공용 템플릿 YouTube URL 및 MP4는 수록하지 않음</x:v>
      </x:c>
      <x:c r="N27" s="45" t="str">
        <x:v>summary: 공식 게시자가 제공한 공개 자료. 별도 자유 이용 허락은 확인되지 않음. 출처·크레딧을 표시한 연구·논평용 인용이며 외부 재배포 조건은 원문 기준.
terms_url: https://www.hyundaimotorgroup.com/en/tv/CONT0000000000198412
asset_id: 미확인</x:v>
      </x:c>
      <x:c r="O27" s="49" t="str">
        <x:v>미확인</x:v>
      </x:c>
      <x:c r="P27" s="49" t="n">
        <x:v>46282</x:v>
      </x:c>
    </x:row>
    <x:row r="28" ht="24" hidden="0" customHeight="1">
      <x:c r="A28" s="2"/>
      <x:c r="B28" s="2"/>
      <x:c r="C28" s="45" t="str">
        <x:v>FV02</x:v>
      </x:c>
      <x:c r="D28" s="45" t="str">
        <x:v>Figure</x:v>
      </x:c>
      <x:c r="E28" s="45" t="str">
        <x:v>동영상</x:v>
      </x:c>
      <x:c r="F28" s="45" t="str">
        <x:v>Humanoid Figure 02 robots tested at BMW Group Plant Spartanburg</x:v>
      </x:c>
      <x:c r="G28" s="49" t="n">
        <x:v>45510</x:v>
      </x:c>
      <x:c r="H28" s="45" t="str">
        <x:v>https://www.press.bmwgroup.com/usa/article/detail/T0444268EN_US/successful-test-of-humanoid-robots-at-bmw-group-plant-spartanburg?language=en_US</x:v>
      </x:c>
      <x:c r="I28" s="45" t="str">
        <x:v>https://www.youtube.com/watch?v=xLVm-QKEZSI</x:v>
      </x:c>
      <x:c r="J28" s="45" t="str">
        <x:v>BMW Group</x:v>
      </x:c>
      <x:c r="K28" s="45" t="str">
        <x:v>BMW 원문이 해당 영상을 차체 공장 시범 작업 영상으로 직접 연결함. 영상 직접 재생 검증은 하지 않음.</x:v>
      </x:c>
      <x:c r="L28" s="45" t="str">
        <x:v>원문이 주장하는 금속 부품 지그 적재와 영상 직접 관찰을 구분. 전체 교대 자율성·개입 횟수·실제 성공률·무편집 여부 미확인.</x:v>
      </x:c>
      <x:c r="M28" s="45" t="str">
        <x:v>공식 페이지/공식 연결 확인; 영상 전체 재생 검증 안 함</x:v>
      </x:c>
      <x:c r="N28" s="45" t="str">
        <x:v>공식 YouTube 원본 링크 제공. 재업로드 또는 편집 재사용 허가는 미확인.</x:v>
      </x:c>
      <x:c r="O28" s="49" t="str">
        <x:v>미확인</x:v>
      </x:c>
      <x:c r="P28" s="49" t="n">
        <x:v>46282</x:v>
      </x:c>
    </x:row>
    <x:row r="29" ht="24" hidden="0" customHeight="1">
      <x:c r="A29" s="2"/>
      <x:c r="B29" s="2"/>
      <x:c r="C29" s="45" t="str">
        <x:v>FV03</x:v>
      </x:c>
      <x:c r="D29" s="45" t="str">
        <x:v>Figure</x:v>
      </x:c>
      <x:c r="E29" s="45" t="str">
        <x:v>동영상</x:v>
      </x:c>
      <x:c r="F29" s="45" t="str">
        <x:v>Figure 03 at BMW Spartanburg 공식 영상</x:v>
      </x:c>
      <x:c r="G29" s="49" t="n">
        <x:v>46198</x:v>
      </x:c>
      <x:c r="H29" s="45" t="str">
        <x:v>https://www.press.bmwgroup.com/global/article/detail/T0458778EN/bmw-group-advances-the-use-of-physical-ai-in-production-with-figure-03-project-in-spartanburg?language=en</x:v>
      </x:c>
      <x:c r="I29" s="45" t="str">
        <x:v>https://mediapool.bmwgroup.com/download/edown/tvFootageDownload.mp4?dokNo=PF0010224&amp;actEvent=tvFootageH264</x:v>
      </x:c>
      <x:c r="J29" s="45" t="str">
        <x:v>BMW Group</x:v>
      </x:c>
      <x:c r="K29" s="45" t="str">
        <x:v>00:10 공장 통로에 후방이 보이는 Figure03; 00:25 컨테이너 옆에서 검은 부품을 손에 든 모습; 00:40 바퀴 달린 분류 카트 프레임에 두 손을 댄 모습. 각각 추출 프레임 관찰이며 연속 동작·성공 여부 판단은 하지 않음.</x:v>
      </x:c>
      <x:c r="L29" s="45" t="str">
        <x:v>3개 표본 프레임은 자율성, 사람 개입 유무, 배속, 무편집, 실제 처리 속도, 지속 가동 성과를 검증하지 못함.</x:v>
      </x:c>
      <x:c r="M29" s="45" t="str">
        <x:v>기존 조사: 공식 원본 다운로드·메타데이터·00:10·00:25·00:40 표본 프레임 직접 열람; 전 구간 검증 안 함</x:v>
      </x:c>
      <x:c r="N29" s="45" t="str">
        <x:v>summary: BMW PressClub 보도 목적 전용 조건. 원문 링크와 공식 호스팅 영상 URL 제공.
terms_url: https://www.press.bmwgroup.com/global/info/legal</x:v>
      </x:c>
      <x:c r="O29" s="49" t="str">
        <x:v>미확인</x:v>
      </x:c>
      <x:c r="P29" s="49" t="n">
        <x:v>46282</x:v>
      </x:c>
    </x:row>
    <x:row r="30" ht="15" hidden="0" customHeight="1">
      <x:c r="A30" s="2"/>
      <x:c r="B30" s="2"/>
      <x:c r="C30" s="45" t="str">
        <x:v>FV04</x:v>
      </x:c>
      <x:c r="D30" s="45" t="str">
        <x:v>Figure</x:v>
      </x:c>
      <x:c r="E30" s="45" t="str">
        <x:v>동영상</x:v>
      </x:c>
      <x:c r="F30" s="45" t="str">
        <x:v>Helix 02: 4분 전신 조작 시연</x:v>
      </x:c>
      <x:c r="G30" s="49" t="n">
        <x:v>46049</x:v>
      </x:c>
      <x:c r="H30" s="45" t="str">
        <x:v>https://www.figure.ai/news/helix-02</x:v>
      </x:c>
      <x:c r="I30" s="45" t="str">
        <x:v>미확인</x:v>
      </x:c>
      <x:c r="J30" s="45" t="str">
        <x:v>Figure</x:v>
      </x:c>
      <x:c r="K30" s="45" t="str">
        <x:v>공식 본문은 식기세척기 작업과 영상별 설명을 제공. 제조사 주장 확인이며 영상 전 구간의 독립 검증 아님.</x:v>
      </x:c>
      <x:c r="L30" s="45" t="str">
        <x:v>전체 시행 횟수·실패 비율·다른 주방 일반화·장기 무인 가동률은 공개 영상으로 확정 불가.</x:v>
      </x:c>
      <x:c r="M30" s="45" t="str">
        <x:v>공식 페이지/공식 연결 확인; 영상 전체 재생 검증 안 함</x:v>
      </x:c>
      <x:c r="N30" s="45" t="str">
        <x:v>원저작권은 해당 회사에 있음. 개인 조사·논평용 출처 표시 수록. 공개·상업 재배포 허가는 확인하지 않았음.</x:v>
      </x:c>
      <x:c r="O30" s="49" t="str">
        <x:v>미확인</x:v>
      </x:c>
      <x:c r="P30" s="49" t="n">
        <x:v>46282</x:v>
      </x:c>
    </x:row>
    <x:row r="31" ht="36" hidden="0" customHeight="1">
      <x:c r="A31" s="2"/>
      <x:c r="B31" s="2"/>
      <x:c r="C31" s="45" t="str">
        <x:v>FV14</x:v>
      </x:c>
      <x:c r="D31" s="45" t="str">
        <x:v>Fourier</x:v>
      </x:c>
      <x:c r="E31" s="45" t="str">
        <x:v>동영상</x:v>
      </x:c>
      <x:c r="F31" s="45" t="str">
        <x:v>GR-3 Fine Control: 공식 조작 시연</x:v>
      </x:c>
      <x:c r="G31" s="49" t="str">
        <x:v>미확인</x:v>
      </x:c>
      <x:c r="H31" s="45" t="str">
        <x:v>https://www.fftai.com/en/grx/gr3</x:v>
      </x:c>
      <x:c r="I31" s="45" t="str">
        <x:v>https://www.fftai.com/videos/gr3/operation.mp4</x:v>
      </x:c>
      <x:c r="J31" s="45" t="str">
        <x:v>Fourier</x:v>
      </x:c>
      <x:c r="K31" s="45" t="str">
        <x:v>공식 GR-3 페이지가 로드하는 공개 JS/영문 로케일에서 Fine Control 영상·poster URL 확인. 파일 22.453초, 1920×1080, 25fps. 00:01은 테이블 앞에서 손을 든 모습, 00:05·00:10은 테이블 위 천에 손을 댄 모습. 세 프레임에 Autonomous 1X 표기와 줄·케이블이 보임. 전체 연속 동작 또는 외부 케이블의 기능은 검증하지 않음.</x:v>
      </x:c>
      <x:c r="L31" s="45" t="str">
        <x:v>작업 성공률·가동률·원격 개입 빈도·실패 시행 수·유상 계약·고객 원가 절감은 이 미디어만으로 확인할 수 없음.</x:v>
      </x:c>
      <x:c r="M31" s="45" t="str">
        <x:v>공식 직접 파일 다운로드·ffprobe 메타데이터·00:01·00:05·00:10 표본 프레임 직접 열람; 전 구간 검증 안 함</x:v>
      </x:c>
      <x:c r="N31" s="45" t="str">
        <x:v>원저작권은 해당 회사에 있음. 개인 조사·논평용 출처 표시 수록. 공개·상업 재배포 허가는 확인하지 않았음.</x:v>
      </x:c>
      <x:c r="O31" s="49" t="str">
        <x:v>미확인</x:v>
      </x:c>
      <x:c r="P31" s="49" t="n">
        <x:v>46282</x:v>
      </x:c>
    </x:row>
    <x:row r="32" ht="24" hidden="0" customHeight="1">
      <x:c r="A32" s="2"/>
      <x:c r="B32" s="2"/>
      <x:c r="C32" s="45" t="str">
        <x:v>FV18</x:v>
      </x:c>
      <x:c r="D32" s="45" t="str">
        <x:v>Google DeepMind / Apptronik</x:v>
      </x:c>
      <x:c r="E32" s="45" t="str">
        <x:v>동영상</x:v>
      </x:c>
      <x:c r="F32" s="45" t="str">
        <x:v>Gemini Robotics 2: Whole-body intelligence</x:v>
      </x:c>
      <x:c r="G32" s="49" t="n">
        <x:v>46233</x:v>
      </x:c>
      <x:c r="H32" s="45" t="str">
        <x:v>https://deepmind.google/blog/gemini-robotics-2-brings-whole-body-intelligence-to-robots/</x:v>
      </x:c>
      <x:c r="I32" s="45" t="str">
        <x:v>https://www.youtube.com/watch?v=4lSQnrMC6nY</x:v>
      </x:c>
      <x:c r="J32" s="45" t="str">
        <x:v>Google DeepMind</x:v>
      </x:c>
      <x:c r="K32" s="45" t="str">
        <x:v>공식 페이지의 영상 임베드 주소와 실패를 포함하는 과제별 성공률 차트 확인. 영상은 사이트 접근 제한으로 재생하지 못함.</x:v>
      </x:c>
      <x:c r="L32" s="45" t="str">
        <x:v>서로 다른 과제·평가 세트의 수치를 BMW 공정 성공률과 직접 비교하지 말 것. 차트는 제조 현장 경제성이나 고객 도입 실적을 뜻하지 않음.</x:v>
      </x:c>
      <x:c r="M32" s="45" t="str">
        <x:v>공식 페이지/공식 연결 확인; 영상 전체 재생 검증 안 함</x:v>
      </x:c>
      <x:c r="N32" s="45" t="str">
        <x:v>원저작권은 해당 회사에 있음. 개인 조사·논평용 출처 표시 수록. 공개·상업 재배포 허가는 확인하지 않았음.</x:v>
      </x:c>
      <x:c r="O32" s="49" t="str">
        <x:v>미확인</x:v>
      </x:c>
      <x:c r="P32" s="49" t="n">
        <x:v>46282</x:v>
      </x:c>
    </x:row>
    <x:row r="33" ht="60" hidden="0" customHeight="1">
      <x:c r="A33" s="2"/>
      <x:c r="B33" s="2"/>
      <x:c r="C33" s="45" t="str">
        <x:v>FV17</x:v>
      </x:c>
      <x:c r="D33" s="45" t="str">
        <x:v>Hexagon</x:v>
      </x:c>
      <x:c r="E33" s="45" t="str">
        <x:v>동영상</x:v>
      </x:c>
      <x:c r="F33" s="45" t="str">
        <x:v>AEON at BMW Leipzig 공식 현장 영상</x:v>
      </x:c>
      <x:c r="G33" s="49" t="n">
        <x:v>46080</x:v>
      </x:c>
      <x:c r="H33" s="45" t="str">
        <x:v>https://www.press.bmwgroup.com/global/article/detail/T0455864EN/bmw-group-to-deploy-humanoid-robots-in-production-in-germany-for-the-first-time?language=en</x:v>
      </x:c>
      <x:c r="I33" s="45" t="str">
        <x:v>https://mediapool.bmwgroup.com/download/edown/tvFootageDownload.mp4?dokNo=PF0010116&amp;actEvent=tvFootageH264</x:v>
      </x:c>
      <x:c r="J33" s="45" t="str">
        <x:v>BMW Group / BMW AG</x:v>
      </x:c>
      <x:c r="K33" s="45" t="str">
        <x:v>공식 BMW 보도자료 HTML에 PF0010116 MP4가 연결됨. 전 구간 재생·영상별 세부 작업 분류는 하지 않음.</x:v>
      </x:c>
      <x:c r="L33" s="45" t="str">
        <x:v>작업 성공률·가동률·원격 개입 빈도·실패 시행 수·유상 계약·고객 원가 절감은 이 미디어만으로 확인할 수 없음.</x:v>
      </x:c>
      <x:c r="M33" s="45" t="str">
        <x:v>공식 페이지/공식 연결 확인; 영상 전체 재생 검증 안 함</x:v>
      </x:c>
      <x:c r="N33" s="45" t="str">
        <x:v>summary: BMW PressClub 보도 목적 전용 조건. 크레딧 BMW Group. 무제한 재사용 라이선스 아님.
terms_url: https://www.press.bmwgroup.com/global/info/legal
asset_id: P90646727
photo_page: https://www.press.bmwgroup.com/global/photo/detail/P90646727/humanoid-robot-figure-03-at-bmw-group-plant-spartanburg</x:v>
      </x:c>
      <x:c r="O33" s="49" t="str">
        <x:v>미확인</x:v>
      </x:c>
      <x:c r="P33" s="49" t="n">
        <x:v>46282</x:v>
      </x:c>
    </x:row>
    <x:row r="34" ht="15" hidden="0" customHeight="1">
      <x:c r="A34" s="2"/>
      <x:c r="B34" s="2"/>
      <x:c r="C34" s="45" t="str">
        <x:v>FV15</x:v>
      </x:c>
      <x:c r="D34" s="45" t="str">
        <x:v>LimX Dynamics</x:v>
      </x:c>
      <x:c r="E34" s="45" t="str">
        <x:v>동영상</x:v>
      </x:c>
      <x:c r="F34" s="45" t="str">
        <x:v>Oli Introduction Video</x:v>
      </x:c>
      <x:c r="G34" s="49" t="n">
        <x:v>45868</x:v>
      </x:c>
      <x:c r="H34" s="45" t="str">
        <x:v>https://www.limxdynamics.com/en/products/oli/video</x:v>
      </x:c>
      <x:c r="I34" s="45" t="str">
        <x:v>미확인</x:v>
      </x:c>
      <x:c r="J34" s="45" t="str">
        <x:v>LimX Dynamics</x:v>
      </x:c>
      <x:c r="K34" s="45" t="str">
        <x:v>공식 비디오 센터에서 제목·공개일 확인. 개별 파일 URL 및 재생 검증 없음.</x:v>
      </x:c>
      <x:c r="L34" s="45" t="str">
        <x:v>작업 성공률·가동률·원격 개입 빈도·실패 시행 수·유상 계약·고객 원가 절감은 이 미디어만으로 확인할 수 없음.</x:v>
      </x:c>
      <x:c r="M34" s="45" t="str">
        <x:v>공식 페이지/공식 연결 확인; 영상 전체 재생 검증 안 함</x:v>
      </x:c>
      <x:c r="N34" s="45" t="str">
        <x:v>원저작권은 해당 회사에 있음. 개인 조사·논평용 출처 표시 수록. 공개·상업 재배포 허가는 확인하지 않았음.</x:v>
      </x:c>
      <x:c r="O34" s="49" t="str">
        <x:v>미확인</x:v>
      </x:c>
      <x:c r="P34" s="49" t="n">
        <x:v>46282</x:v>
      </x:c>
    </x:row>
    <x:row r="35" ht="15" hidden="0" customHeight="1">
      <x:c r="A35" s="2"/>
      <x:c r="B35" s="2"/>
      <x:c r="C35" s="45" t="str">
        <x:v>FV16</x:v>
      </x:c>
      <x:c r="D35" s="45" t="str">
        <x:v>LimX Dynamics</x:v>
      </x:c>
      <x:c r="E35" s="45" t="str">
        <x:v>동영상</x:v>
      </x:c>
      <x:c r="F35" s="45" t="str">
        <x:v>Oli: Fully Autonomous Tennis Ball Picks Up &amp; Tosses</x:v>
      </x:c>
      <x:c r="G35" s="49" t="n">
        <x:v>45930</x:v>
      </x:c>
      <x:c r="H35" s="45" t="str">
        <x:v>https://www.limxdynamics.com/en/products/oli/video</x:v>
      </x:c>
      <x:c r="I35" s="45" t="str">
        <x:v>미확인</x:v>
      </x:c>
      <x:c r="J35" s="45" t="str">
        <x:v>LimX Dynamics</x:v>
      </x:c>
      <x:c r="K35" s="45" t="str">
        <x:v>공식 비디오 센터의 제목과 날짜 확인. 영상 직접 재생 안 함.</x:v>
      </x:c>
      <x:c r="L35" s="45" t="str">
        <x:v>작업 성공률·가동률·원격 개입 빈도·실패 시행 수·유상 계약·고객 원가 절감은 이 미디어만으로 확인할 수 없음.</x:v>
      </x:c>
      <x:c r="M35" s="45" t="str">
        <x:v>공식 페이지/공식 연결 확인; 영상 전체 재생 검증 안 함</x:v>
      </x:c>
      <x:c r="N35" s="45" t="str">
        <x:v>원저작권은 해당 회사에 있음. 개인 조사·논평용 출처 표시 수록. 공개·상업 재배포 허가는 확인하지 않았음.</x:v>
      </x:c>
      <x:c r="O35" s="49" t="str">
        <x:v>미확인</x:v>
      </x:c>
      <x:c r="P35" s="49" t="n">
        <x:v>46282</x:v>
      </x:c>
    </x:row>
    <x:row r="36" ht="48" hidden="0" customHeight="1">
      <x:c r="A36" s="2"/>
      <x:c r="B36" s="2"/>
      <x:c r="C36" s="45" t="str">
        <x:v>KV04</x:v>
      </x:c>
      <x:c r="D36" s="45" t="str">
        <x:v>Rainbow Robotics</x:v>
      </x:c>
      <x:c r="E36" s="45" t="str">
        <x:v>동영상</x:v>
      </x:c>
      <x:c r="F36" s="45" t="str">
        <x:v>Dual-arm Mobile Manipulator RB-Y1 (Highlight)</x:v>
      </x:c>
      <x:c r="G36" s="49" t="n">
        <x:v>45735</x:v>
      </x:c>
      <x:c r="H36" s="45" t="str">
        <x:v>https://rainbow-robotics.com/dual-arm-mobile-manipulator-rb-y1/</x:v>
      </x:c>
      <x:c r="I36" s="45" t="str">
        <x:v>https://www.youtube.com/watch?v=D6M2IhSLSmY</x:v>
      </x:c>
      <x:c r="J36" s="45" t="str">
        <x:v>Rainbow Robotics</x:v>
      </x:c>
      <x:c r="K36" s="45" t="str">
        <x:v>공식 페이지는 이 영상을 실시간 원격조작으로 제어했다고 명시한다. Google oEmbed로 실제 제목·Rainbow Robotics 채널을 확인. 전체 재생 미확인.</x:v>
      </x:c>
      <x:c r="L36" s="45" t="str">
        <x:v>편집된 시연·원격조작·전시 자료만으로 자율성, 성공률, 작업 속도, 고객 매출과 재주문을 확정할 수 없다.</x:v>
      </x:c>
      <x:c r="M36" s="45" t="str">
        <x:v>공식 페이지 연결 및 Google YouTube oEmbed 제목·게시 채널 확인; 전체 영상 재생 미확인</x:v>
      </x:c>
      <x:c r="N36" s="45" t="str">
        <x:v>summary: 공식 게시자가 제공한 공개 자료. 별도 자유 이용 허락은 확인되지 않음. 출처·크레딧을 표시한 연구·논평용 인용이며 외부 재배포 조건은 원문 기준.
terms_url: https://rainbow-robotics.com/dual-arm-mobile-manipulator-rb-y1/
asset_id: 미확인</x:v>
      </x:c>
      <x:c r="O36" s="49" t="str">
        <x:v>미확인</x:v>
      </x:c>
      <x:c r="P36" s="49" t="n">
        <x:v>46282</x:v>
      </x:c>
    </x:row>
    <x:row r="37" ht="48" hidden="0" customHeight="1">
      <x:c r="A37" s="2"/>
      <x:c r="B37" s="2"/>
      <x:c r="C37" s="45" t="str">
        <x:v>KV02</x:v>
      </x:c>
      <x:c r="D37" s="45" t="str">
        <x:v>ROBOTIS</x:v>
      </x:c>
      <x:c r="E37" s="45" t="str">
        <x:v>동영상</x:v>
      </x:c>
      <x:c r="F37" s="45" t="str">
        <x:v>로보티즈 AI Worker 데모 시연 영상</x:v>
      </x:c>
      <x:c r="G37" s="49" t="str">
        <x:v>미확인</x:v>
      </x:c>
      <x:c r="H37" s="45" t="str">
        <x:v>https://www.robotis.com/en/product/ecosystem-aiworker.php</x:v>
      </x:c>
      <x:c r="I37" s="45" t="str">
        <x:v>https://www.youtube.com/watch?v=DX7DEf9s3Eg</x:v>
      </x:c>
      <x:c r="J37" s="45" t="str">
        <x:v>ROBOTIS</x:v>
      </x:c>
      <x:c r="K37" s="45" t="str">
        <x:v>Google oEmbed로 실제 제목 ROBOTIS AI Worker Demo Showcase와 ROBOTIS 운영 채널을 확인. 전체 재생 미확인. 바퀴형 양팔 플랫폼의 데모를 읽는 자료다.</x:v>
      </x:c>
      <x:c r="L37" s="45" t="str">
        <x:v>편집된 시연·원격조작·전시 자료만으로 자율성, 성공률, 작업 속도, 고객 매출과 재주문을 확정할 수 없다.</x:v>
      </x:c>
      <x:c r="M37" s="45" t="str">
        <x:v>공식 페이지 연결 및 Google YouTube oEmbed 제목·게시 채널 확인; 전체 영상 재생 미확인</x:v>
      </x:c>
      <x:c r="N37" s="45" t="str">
        <x:v>summary: 공식 게시자가 제공한 공개 자료. 별도 자유 이용 허락은 확인되지 않음. 출처·크레딧을 표시한 연구·논평용 인용이며 외부 재배포 조건은 원문 기준.
terms_url: https://www.robotis.com/en/product/ecosystem-aiworker.php
asset_id: 미확인</x:v>
      </x:c>
      <x:c r="O37" s="49" t="str">
        <x:v>미확인</x:v>
      </x:c>
      <x:c r="P37" s="49" t="n">
        <x:v>46282</x:v>
      </x:c>
    </x:row>
    <x:row r="38" ht="48" hidden="0" customHeight="1">
      <x:c r="A38" s="2"/>
      <x:c r="B38" s="2"/>
      <x:c r="C38" s="45" t="str">
        <x:v>KV03</x:v>
      </x:c>
      <x:c r="D38" s="45" t="str">
        <x:v>ROBOTIS</x:v>
      </x:c>
      <x:c r="E38" s="45" t="str">
        <x:v>동영상</x:v>
      </x:c>
      <x:c r="F38" s="45" t="str">
        <x:v>AI WORKER #7: PAPRLE VR Teleoperation – Vision Pro Meets AI WORKER</x:v>
      </x:c>
      <x:c r="G38" s="49" t="n">
        <x:v>45977</x:v>
      </x:c>
      <x:c r="H38" s="45" t="str">
        <x:v>https://www.robotis.com/en/product/ecosystem-aiworker.php</x:v>
      </x:c>
      <x:c r="I38" s="45" t="str">
        <x:v>https://www.youtube.com/watch?v=pFPKaru62gQ</x:v>
      </x:c>
      <x:c r="J38" s="45" t="str">
        <x:v>ROBOTIS</x:v>
      </x:c>
      <x:c r="K38" s="45" t="str">
        <x:v>Google oEmbed로 원격조작 영상 제목과 ROBOTIS OpenSourceTeam 채널을 확인. 제품 페이지 카드의 Industrial Use Cases라는 설명 대신 실제 제목을 사용한다. 전체 재생 미확인.</x:v>
      </x:c>
      <x:c r="L38" s="45" t="str">
        <x:v>편집된 시연·원격조작·전시 자료만으로 자율성, 성공률, 작업 속도, 고객 매출과 재주문을 확정할 수 없다.</x:v>
      </x:c>
      <x:c r="M38" s="45" t="str">
        <x:v>공식 페이지 연결 및 Google YouTube oEmbed 제목·게시 채널 확인; 전체 영상 재생 미확인</x:v>
      </x:c>
      <x:c r="N38" s="45" t="str">
        <x:v>summary: 공식 게시자가 제공한 공개 자료. 별도 자유 이용 허락은 확인되지 않음. 출처·크레딧을 표시한 연구·논평용 인용이며 외부 재배포 조건은 원문 기준.
terms_url: https://www.robotis.com/en/product/ecosystem-aiworker.php
asset_id: 미확인</x:v>
      </x:c>
      <x:c r="O38" s="49" t="str">
        <x:v>미확인</x:v>
      </x:c>
      <x:c r="P38" s="49" t="n">
        <x:v>46282</x:v>
      </x:c>
    </x:row>
    <x:row r="39" ht="24" hidden="0" customHeight="1">
      <x:c r="A39" s="2"/>
      <x:c r="B39" s="2"/>
      <x:c r="C39" s="45" t="str">
        <x:v>FV01</x:v>
      </x:c>
      <x:c r="D39" s="45" t="str">
        <x:v>Tesla</x:v>
      </x:c>
      <x:c r="E39" s="45" t="str">
        <x:v>동영상</x:v>
      </x:c>
      <x:c r="F39" s="45" t="str">
        <x:v>Optimus – Gen 2 | Tesla</x:v>
      </x:c>
      <x:c r="G39" s="49" t="str">
        <x:v>미확인</x:v>
      </x:c>
      <x:c r="H39" s="45" t="str">
        <x:v>https://www.tesla.com/AI</x:v>
      </x:c>
      <x:c r="I39" s="45" t="str">
        <x:v>https://www.youtube.com/watch?v=cpraXaw7dyc</x:v>
      </x:c>
      <x:c r="J39" s="45" t="str">
        <x:v>Tesla</x:v>
      </x:c>
      <x:c r="K39" s="45" t="str">
        <x:v>YouTube 원본 제목 Optimus - Gen 2 | Tesla와 공식 AI 페이지의 Optimus 개발 설명 확인. 영상 전체 재생은 검증하지 않음.</x:v>
      </x:c>
      <x:c r="L39" s="45" t="str">
        <x:v>작업 성공률·가동률·원격 개입 빈도·실패 시행 수·유상 계약·고객 원가 절감은 이 미디어만으로 확인할 수 없음.</x:v>
      </x:c>
      <x:c r="M39" s="45" t="str">
        <x:v>공식 페이지/공식 연결 확인; 영상 전체 재생 검증 안 함</x:v>
      </x:c>
      <x:c r="N39" s="45" t="str">
        <x:v>원저작권은 해당 회사에 있음. 개인 조사·논평용 출처 표시 수록. 공개·상업 재배포 허가는 확인하지 않았음.</x:v>
      </x:c>
      <x:c r="O39" s="49" t="str">
        <x:v>미확인</x:v>
      </x:c>
      <x:c r="P39" s="49" t="n">
        <x:v>46282</x:v>
      </x:c>
    </x:row>
    <x:row r="40" ht="48" hidden="0" customHeight="1">
      <x:c r="A40" s="2"/>
      <x:c r="B40" s="2"/>
      <x:c r="C40" s="45" t="str">
        <x:v>KV05</x:v>
      </x:c>
      <x:c r="D40" s="45" t="str">
        <x:v>Tesollo</x:v>
      </x:c>
      <x:c r="E40" s="45" t="str">
        <x:v>동영상</x:v>
      </x:c>
      <x:c r="F40" s="45" t="str">
        <x:v>AI In-Hand Manipulation with Isaac Sim &amp; Sim-to-Real | TESOLLO DG-5F-M</x:v>
      </x:c>
      <x:c r="G40" s="49" t="n">
        <x:v>46211</x:v>
      </x:c>
      <x:c r="H40" s="45" t="str">
        <x:v>https://www.tesollo.com/news/videos/dg-5f-m-robotic-hand-ai-based-in-hand-manipulation</x:v>
      </x:c>
      <x:c r="I40" s="45" t="str">
        <x:v>https://www.youtube.com/watch?v=jb84xPk5WsU</x:v>
      </x:c>
      <x:c r="J40" s="45" t="str">
        <x:v>Tesollo</x:v>
      </x:c>
      <x:c r="K40" s="45" t="str">
        <x:v>공식 페이지·스틸과 Google oEmbed 제목·TESOLLO 채널을 확인. 제목에서 Isaac Sim과 실물 전이를 구분하며 영상 전체 재생은 미확인이다.</x:v>
      </x:c>
      <x:c r="L40" s="45" t="str">
        <x:v>편집된 시연·원격조작·전시 자료만으로 자율성, 성공률, 작업 속도, 고객 매출과 재주문을 확정할 수 없다.</x:v>
      </x:c>
      <x:c r="M40" s="45" t="str">
        <x:v>공식 페이지 연결 및 Google YouTube oEmbed 제목·게시 채널 확인; 전체 영상 재생 미확인</x:v>
      </x:c>
      <x:c r="N40" s="45" t="str">
        <x:v>summary: 공식 게시자가 제공한 공개 자료. 별도 자유 이용 허락은 확인되지 않음. 출처·크레딧을 표시한 연구·논평용 인용이며 외부 재배포 조건은 원문 기준.
terms_url: https://www.tesollo.com/news/videos/dg-5f-m-robotic-hand-ai-based-in-hand-manipulation
asset_id: 미확인</x:v>
      </x:c>
      <x:c r="O40" s="49" t="str">
        <x:v>미확인</x:v>
      </x:c>
      <x:c r="P40" s="49" t="n">
        <x:v>46282</x:v>
      </x:c>
    </x:row>
    <x:row r="41" ht="60" hidden="0" customHeight="1">
      <x:c r="A41" s="2"/>
      <x:c r="B41" s="2"/>
      <x:c r="C41" s="45" t="str">
        <x:v>KV06</x:v>
      </x:c>
      <x:c r="D41" s="45" t="str">
        <x:v>Tesollo</x:v>
      </x:c>
      <x:c r="E41" s="45" t="str">
        <x:v>동영상</x:v>
      </x:c>
      <x:c r="F41" s="45" t="str">
        <x:v>Tesollo ICRA 2026 Booth Tour</x:v>
      </x:c>
      <x:c r="G41" s="49" t="n">
        <x:v>46175</x:v>
      </x:c>
      <x:c r="H41" s="45" t="str">
        <x:v>https://www.tesollo.com/news/videos/tesollo-icra-2026-booth-tour-robotic-hands-grippers-humanoid-vla-teleoperation</x:v>
      </x:c>
      <x:c r="I41" s="45" t="str">
        <x:v>https://www.youtube.com/watch?v=AyaiSf5wXSU</x:v>
      </x:c>
      <x:c r="J41" s="45" t="str">
        <x:v>Tesollo</x:v>
      </x:c>
      <x:c r="K41" s="45" t="str">
        <x:v>공식 부스 영상 페이지·스틸과 Google oEmbed 제목·TESOLLO 채널을 확인. 전시 통합 사례로 읽으며 전체 재생은 미확인이다.</x:v>
      </x:c>
      <x:c r="L41" s="45" t="str">
        <x:v>편집된 시연·원격조작·전시 자료만으로 자율성, 성공률, 작업 속도, 고객 매출과 재주문을 확정할 수 없다.</x:v>
      </x:c>
      <x:c r="M41" s="45" t="str">
        <x:v>공식 페이지 연결 및 Google YouTube oEmbed 제목·게시 채널 확인; 전체 영상 재생 미확인</x:v>
      </x:c>
      <x:c r="N41" s="45" t="str">
        <x:v>summary: 공식 게시자가 제공한 공개 자료. 별도 자유 이용 허락은 확인되지 않음. 출처·크레딧을 표시한 연구·논평용 인용이며 외부 재배포 조건은 원문 기준.
terms_url: https://www.tesollo.com/news/videos/tesollo-icra-2026-booth-tour-robotic-hands-grippers-humanoid-vla-teleoperation
asset_id: 미확인</x:v>
      </x:c>
      <x:c r="O41" s="49" t="str">
        <x:v>미확인</x:v>
      </x:c>
      <x:c r="P41" s="49" t="n">
        <x:v>46282</x:v>
      </x:c>
    </x:row>
    <x:row r="42" ht="36" hidden="0" customHeight="1">
      <x:c r="A42" s="2"/>
      <x:c r="B42" s="2"/>
      <x:c r="C42" s="45" t="str">
        <x:v>FV11</x:v>
      </x:c>
      <x:c r="D42" s="45" t="str">
        <x:v>UBTECH</x:v>
      </x:c>
      <x:c r="E42" s="45" t="str">
        <x:v>동영상</x:v>
      </x:c>
      <x:c r="F42" s="45" t="str">
        <x:v>Walker S 시리즈: Parcel Handling</x:v>
      </x:c>
      <x:c r="G42" s="49" t="str">
        <x:v>미확인</x:v>
      </x:c>
      <x:c r="H42" s="45" t="str">
        <x:v>https://www.ubtrobot.com/en/humanoid/solutions/industry</x:v>
      </x:c>
      <x:c r="I42" s="45" t="str">
        <x:v>https://owebsite-cdn.ubtrobot.com/resources/video/2025/08/14/708722622480453.mp4</x:v>
      </x:c>
      <x:c r="J42" s="45" t="str">
        <x:v>UBTECH</x:v>
      </x:c>
      <x:c r="K42" s="45" t="str">
        <x:v>공식 MP4 다운로드 및 ffprobe 확인: 16.857초, 3840×2160, 25fps. 00:01은 컨테이너가 쌓인 팔레트 뒤에 선 기체, 00:05는 허리와 무릎을 굽혀 컨테이너에 손을 댄 모습, 00:10은 컨테이너를 앞에 든 모습. 각각 표본 프레임 관찰이며 전체 연속 동작 검증은 아님.</x:v>
      </x:c>
      <x:c r="L42" s="45" t="str">
        <x:v>작업 성공률·가동률·원격 개입 빈도·실패 시행 수·유상 계약·고객 원가 절감은 이 미디어만으로 확인할 수 없음.</x:v>
      </x:c>
      <x:c r="M42" s="45" t="str">
        <x:v>공식 원본 다운로드·메타데이터·3개 표본 프레임 직접 열람; 전 구간 동작 검증 안 함</x:v>
      </x:c>
      <x:c r="N42" s="45" t="str">
        <x:v>원저작권은 해당 회사에 있음. 개인 조사·논평용 출처 표시 수록. 공개·상업 재배포 허가는 확인하지 않았음.</x:v>
      </x:c>
      <x:c r="O42" s="49" t="str">
        <x:v>미확인</x:v>
      </x:c>
      <x:c r="P42" s="49" t="n">
        <x:v>46282</x:v>
      </x:c>
    </x:row>
    <x:row r="43" ht="15" hidden="0" customHeight="1">
      <x:c r="A43" s="2"/>
      <x:c r="B43" s="2"/>
      <x:c r="C43" s="45" t="str">
        <x:v>FV12</x:v>
      </x:c>
      <x:c r="D43" s="45" t="str">
        <x:v>UBTECH</x:v>
      </x:c>
      <x:c r="E43" s="45" t="str">
        <x:v>동영상</x:v>
      </x:c>
      <x:c r="F43" s="45" t="str">
        <x:v>Walker S 시리즈: SPS Sorting</x:v>
      </x:c>
      <x:c r="G43" s="49" t="str">
        <x:v>미확인</x:v>
      </x:c>
      <x:c r="H43" s="45" t="str">
        <x:v>https://www.ubtrobot.com/en/humanoid/solutions/industry</x:v>
      </x:c>
      <x:c r="I43" s="45" t="str">
        <x:v>https://owebsite-cdn.ubtrobot.com/resources/video/2025/08/14/708722940776517.mp4</x:v>
      </x:c>
      <x:c r="J43" s="45" t="str">
        <x:v>UBTECH</x:v>
      </x:c>
      <x:c r="K43" s="45" t="str">
        <x:v>공식 페이지에서 해당 MP4와 SPS Sorting 설명의 연결 확인. 영상 전체 재생 안 함.</x:v>
      </x:c>
      <x:c r="L43" s="45" t="str">
        <x:v>작업 성공률·가동률·원격 개입 빈도·실패 시행 수·유상 계약·고객 원가 절감은 이 미디어만으로 확인할 수 없음.</x:v>
      </x:c>
      <x:c r="M43" s="45" t="str">
        <x:v>공식 페이지/공식 연결 확인; 영상 전체 재생 검증 안 함</x:v>
      </x:c>
      <x:c r="N43" s="45" t="str">
        <x:v>원저작권은 해당 회사에 있음. 개인 조사·논평용 출처 표시 수록. 공개·상업 재배포 허가는 확인하지 않았음.</x:v>
      </x:c>
      <x:c r="O43" s="49" t="str">
        <x:v>미확인</x:v>
      </x:c>
      <x:c r="P43" s="49" t="n">
        <x:v>46282</x:v>
      </x:c>
    </x:row>
    <x:row r="44" ht="15" hidden="0" customHeight="1">
      <x:c r="A44" s="2"/>
      <x:c r="B44" s="2"/>
      <x:c r="C44" s="45" t="str">
        <x:v>FV10</x:v>
      </x:c>
      <x:c r="D44" s="45" t="str">
        <x:v>Unitree</x:v>
      </x:c>
      <x:c r="E44" s="45" t="str">
        <x:v>동영상</x:v>
      </x:c>
      <x:c r="F44" s="45" t="str">
        <x:v>G1 공식 제품 페이지 시연 영상</x:v>
      </x:c>
      <x:c r="G44" s="49" t="str">
        <x:v>미확인</x:v>
      </x:c>
      <x:c r="H44" s="45" t="str">
        <x:v>https://www.unitree.com/g1/</x:v>
      </x:c>
      <x:c r="I44" s="45" t="str">
        <x:v>https://www.unitree.com/images/7504897529034b05890225e149d3af28.mp4</x:v>
      </x:c>
      <x:c r="J44" s="45" t="str">
        <x:v>Unitree</x:v>
      </x:c>
      <x:c r="K44" s="45" t="str">
        <x:v>공식 HTML의 MP4 source 확인. 재생 검증 안 함. 제품 페이지의 기능 제한 문구 함께 확인.</x:v>
      </x:c>
      <x:c r="L44" s="45" t="str">
        <x:v>작업 성공률·가동률·원격 개입 빈도·실패 시행 수·유상 계약·고객 원가 절감은 이 미디어만으로 확인할 수 없음.</x:v>
      </x:c>
      <x:c r="M44" s="45" t="str">
        <x:v>공식 페이지/공식 연결 확인; 영상 전체 재생 검증 안 함</x:v>
      </x:c>
      <x:c r="N44" s="45" t="str">
        <x:v>원저작권은 해당 회사에 있음. 개인 조사·논평용 출처 표시 수록. 공개·상업 재배포 허가는 확인하지 않았음.</x:v>
      </x:c>
      <x:c r="O44" s="49" t="str">
        <x:v>미확인</x:v>
      </x:c>
      <x:c r="P44" s="49" t="n">
        <x:v>46282</x:v>
      </x:c>
    </x:row>
  </x:sheetData>
  <x:pageMargins left="0.7" right="0.7" top="0.75" bottom="0.75" header="0.3" footer="0.3"/>
  <x:tableParts count="1">
    <x:tablePart xmlns:r="http://schemas.openxmlformats.org/officeDocument/2006/relationships" r:id="Refc7a32678ed4143"/>
  </x:tableParts>
</x:worksheet>
</file>

<file path=xl/worksheets/sheet12.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2" hidden="0" customWidth="1"/>
    <x:col min="2" max="2" width="2" hidden="0" customWidth="1"/>
    <x:col min="3" max="3" width="16" hidden="0" customWidth="1"/>
    <x:col min="4" max="4" width="24" hidden="0" customWidth="1"/>
    <x:col min="5" max="5" width="80" hidden="0" customWidth="1"/>
    <x:col min="6" max="6" width="25" hidden="0" customWidth="1"/>
    <x:col min="7" max="7" width="100" hidden="0" customWidth="1"/>
    <x:col min="8" max="8" width="100" hidden="0" customWidth="1"/>
    <x:col min="9" max="9" width="18" hidden="0" customWidth="1"/>
  </x:cols>
  <x:sheetData>
    <x:row r="1" ht="24" customHeight="1">
      <x:c r="A1" s="2"/>
      <x:c r="B1" s="2"/>
      <x:c r="C1" s="2"/>
      <x:c r="D1" s="2"/>
      <x:c r="E1" s="2"/>
      <x:c r="F1" s="2"/>
      <x:c r="G1" s="2"/>
      <x:c r="H1" s="2"/>
      <x:c r="I1" s="2"/>
    </x:row>
    <x:row r="2" ht="24" customHeight="1">
      <x:c r="A2" s="2"/>
      <x:c r="B2" s="2"/>
      <x:c r="C2" s="3" t="str">
        <x:v>팩트체크</x:v>
      </x:c>
      <x:c r="D2" s="3"/>
      <x:c r="E2" s="3"/>
      <x:c r="F2" s="3"/>
      <x:c r="G2" s="3"/>
      <x:c r="H2" s="3"/>
      <x:c r="I2" s="3"/>
    </x:row>
    <x:row r="3" ht="24" customHeight="1">
      <x:c r="A3" s="2"/>
      <x:c r="B3" s="2"/>
      <x:c r="C3" s="2"/>
      <x:c r="D3" s="2"/>
      <x:c r="E3" s="2"/>
      <x:c r="F3" s="2"/>
      <x:c r="G3" s="2"/>
      <x:c r="H3" s="2"/>
      <x:c r="I3" s="2"/>
    </x:row>
    <x:row r="4" ht="24" customHeight="1">
      <x:c r="A4" s="2"/>
      <x:c r="B4" s="2"/>
      <x:c r="C4" s="4" t="str">
        <x:v>핵심 사실과 불확실성의 검증 대장입니다. 원문 확인은 사업 성공·미래 계획의 실현을 뜻하지 않습니다.</x:v>
      </x:c>
      <x:c r="D4" s="2"/>
      <x:c r="E4" s="2"/>
      <x:c r="F4" s="2"/>
      <x:c r="G4" s="2"/>
      <x:c r="H4" s="2"/>
      <x:c r="I4" s="2"/>
    </x:row>
    <x:row r="5" ht="24" customHeight="1">
      <x:c r="A5" s="2"/>
      <x:c r="B5" s="2"/>
      <x:c r="C5" s="2"/>
      <x:c r="D5" s="2"/>
      <x:c r="E5" s="2"/>
      <x:c r="F5" s="2"/>
      <x:c r="G5" s="2"/>
      <x:c r="H5" s="2"/>
      <x:c r="I5" s="2"/>
    </x:row>
    <x:row r="6" ht="34" customHeight="1">
      <x:c r="A6" s="2"/>
      <x:c r="B6" s="2"/>
      <x:c r="C6" s="8" t="str">
        <x:v>ID</x:v>
      </x:c>
      <x:c r="D6" s="8" t="str">
        <x:v>검토 영역</x:v>
      </x:c>
      <x:c r="E6" s="8" t="str">
        <x:v>검토한 주장</x:v>
      </x:c>
      <x:c r="F6" s="8" t="str">
        <x:v>검증 결과</x:v>
      </x:c>
      <x:c r="G6" s="8" t="str">
        <x:v>수정·확인 범위</x:v>
      </x:c>
      <x:c r="H6" s="8" t="str">
        <x:v>원문 URL</x:v>
      </x:c>
      <x:c r="I6" s="8" t="str">
        <x:v>확인일</x:v>
      </x:c>
    </x:row>
    <x:row r="7" ht="15" hidden="0" customHeight="1">
      <x:c r="A7" s="2"/>
      <x:c r="B7" s="2"/>
      <x:c r="C7" s="45" t="str">
        <x:v>CF001</x:v>
      </x:c>
      <x:c r="D7" s="45" t="str">
        <x:v>상용화·완성체 사례</x:v>
      </x:c>
      <x:c r="E7" s="45" t="str">
        <x:v>Q2 2026 Optimus 초기 기체는 Academy 학습용이며 Fremont 라인 설치 중</x:v>
      </x:c>
      <x:c r="F7" s="45" t="str">
        <x:v>원문 일치</x:v>
      </x:c>
      <x:c r="G7" s="45" t="str">
        <x:v>원본 PDF 6쪽은 S/X 라인 철거 후 Optimus 라인 설치와 초기 기체의 훈련 데이터 수집·기능 개발 목적을 설명한다.</x:v>
      </x:c>
      <x:c r="H7" s="45" t="str">
        <x:v>https://assets-ir.tesla.com/tesla-contents/IR/TSLA-Q2-2026-Update.pdf</x:v>
      </x:c>
      <x:c r="I7" s="49" t="n">
        <x:v>46282</x:v>
      </x:c>
    </x:row>
    <x:row r="8" ht="15" hidden="0" customHeight="1">
      <x:c r="A8" s="2"/>
      <x:c r="B8" s="2"/>
      <x:c r="C8" s="45" t="str">
        <x:v>CF002</x:v>
      </x:c>
      <x:c r="D8" s="45" t="str">
        <x:v>상용화·완성체 사례</x:v>
      </x:c>
      <x:c r="E8" s="45" t="str">
        <x:v>California·Texas Optimus 생산능력은 숫자 없이 Construction으로 기재</x:v>
      </x:c>
      <x:c r="F8" s="45" t="str">
        <x:v>원문 일치</x:v>
      </x:c>
      <x:c r="G8" s="45" t="str">
        <x:v>같은 표에서 두 지역 모두 Construction이고 연간 생산능력 칸은 대시다. 미래 생산 개시 문장은 양산 실적이 아니다.</x:v>
      </x:c>
      <x:c r="H8" s="45" t="str">
        <x:v>https://assets-ir.tesla.com/tesla-contents/IR/TSLA-Q2-2026-Update.pdf</x:v>
      </x:c>
      <x:c r="I8" s="49" t="n">
        <x:v>46282</x:v>
      </x:c>
    </x:row>
    <x:row r="9" ht="36" hidden="0" customHeight="1">
      <x:c r="A9" s="2"/>
      <x:c r="B9" s="2"/>
      <x:c r="C9" s="45" t="str">
        <x:v>CF003</x:v>
      </x:c>
      <x:c r="D9" s="45" t="str">
        <x:v>상용화·완성체 사례</x:v>
      </x:c>
      <x:c r="E9" s="45" t="str">
        <x:v>Figure 02의 9만 부품·1,250시간·3만 X3 지원 기록</x:v>
      </x:c>
      <x:c r="F9" s="45" t="str">
        <x:v>원문 일치</x:v>
      </x:c>
      <x:c r="G9" s="45" t="str">
        <x:v>BMW 고객 원문과 Figure 운영 회고가 해당 규모를 보고한다. 차량 전체 생산을 로봇 단독 실적으로 해석할 근거는 없다.</x:v>
      </x:c>
      <x:c r="H9" s="45" t="str">
        <x:v>https://www.press.bmwgroup.com/global/article/detail/T0455864EN/bmw-group-to-deploy-humanoid-robots-in-production-in-germany-for-the-first-time?language=en
https://www.figure.ai/news/production-at-bmw</x:v>
      </x:c>
      <x:c r="I9" s="49" t="n">
        <x:v>46282</x:v>
      </x:c>
    </x:row>
    <x:row r="10" ht="36" hidden="0" customHeight="1">
      <x:c r="A10" s="2"/>
      <x:c r="B10" s="2"/>
      <x:c r="C10" s="45" t="str">
        <x:v>CF004</x:v>
      </x:c>
      <x:c r="D10" s="45" t="str">
        <x:v>상용화·완성체 사례</x:v>
      </x:c>
      <x:c r="E10" s="45" t="str">
        <x:v>BMW 10개월과 Figure 11개월의 기간 표현이 다르다</x:v>
      </x:c>
      <x:c r="F10" s="45" t="str">
        <x:v>원문 일치</x:v>
      </x:c>
      <x:c r="G10" s="45" t="str">
        <x:v>BMW는 ten months, Figure는 11 month deployment라고 쓴다. 분모를 같다고 가정할 수 없다.</x:v>
      </x:c>
      <x:c r="H10" s="45" t="str">
        <x:v>https://www.press.bmwgroup.com/global/article/detail/T0455864EN/bmw-group-to-deploy-humanoid-robots-in-production-in-germany-for-the-first-time?language=en
https://www.figure.ai/news/production-at-bmw</x:v>
      </x:c>
      <x:c r="I10" s="49" t="n">
        <x:v>46282</x:v>
      </x:c>
    </x:row>
    <x:row r="11" ht="15" hidden="0" customHeight="1">
      <x:c r="A11" s="2"/>
      <x:c r="B11" s="2"/>
      <x:c r="C11" s="45" t="str">
        <x:v>CF005</x:v>
      </x:c>
      <x:c r="D11" s="45" t="str">
        <x:v>상용화·완성체 사례</x:v>
      </x:c>
      <x:c r="E11" s="45" t="str">
        <x:v>99% 성공률·0개입은 달성 성과가 아니라 목표</x:v>
      </x:c>
      <x:c r="F11" s="45" t="str">
        <x:v>원문 일치</x:v>
      </x:c>
      <x:c r="G11" s="45" t="str">
        <x:v>원문은 성공률에 target, 개입에 goal을 붙인다. 84초 전체·37초 투입도 requirement다.</x:v>
      </x:c>
      <x:c r="H11" s="45" t="str">
        <x:v>https://www.figure.ai/news/production-at-bmw</x:v>
      </x:c>
      <x:c r="I11" s="49" t="n">
        <x:v>46282</x:v>
      </x:c>
    </x:row>
    <x:row r="12" ht="24" hidden="0" customHeight="1">
      <x:c r="A12" s="2"/>
      <x:c r="B12" s="2"/>
      <x:c r="C12" s="45" t="str">
        <x:v>CF006</x:v>
      </x:c>
      <x:c r="D12" s="45" t="str">
        <x:v>상용화·완성체 사례</x:v>
      </x:c>
      <x:c r="E12" s="45" t="str">
        <x:v>Figure 03 기체 최초 공개일과 BMW 현장 시연 발표일</x:v>
      </x:c>
      <x:c r="F12" s="45" t="str">
        <x:v>시점 구분</x:v>
      </x:c>
      <x:c r="G12" s="45" t="str">
        <x:v>기체 최초 공개는 2025-10-09, BMW 현장 시연 발표는 2026-06-30이다. 두 사건의 날짜를 구분한다.</x:v>
      </x:c>
      <x:c r="H12" s="45" t="str">
        <x:v>https://www.figure.ai/news/f-03-at-bmw
https://www.figure.ai/news/introducing-figure-03</x:v>
      </x:c>
      <x:c r="I12" s="49" t="n">
        <x:v>46282</x:v>
      </x:c>
    </x:row>
    <x:row r="13" ht="15" hidden="0" customHeight="1">
      <x:c r="A13" s="2"/>
      <x:c r="B13" s="2"/>
      <x:c r="C13" s="45" t="str">
        <x:v>CF007</x:v>
      </x:c>
      <x:c r="D13" s="45" t="str">
        <x:v>상용화·완성체 사례</x:v>
      </x:c>
      <x:c r="E13" s="45" t="str">
        <x:v>Figure 03·Helix 02의 BMW 순서배열은 첫 현장 시연</x:v>
      </x:c>
      <x:c r="F13" s="45" t="str">
        <x:v>원문 일치</x:v>
      </x:c>
      <x:c r="G13" s="45" t="str">
        <x:v>본문은 first demonstration이라고 명시하고 손·팔·몸통·발을 함께 제어한다고 설명한다. Figure 02 운영시간과 별도다.</x:v>
      </x:c>
      <x:c r="H13" s="45" t="str">
        <x:v>https://www.figure.ai/news/f-03-at-bmw</x:v>
      </x:c>
      <x:c r="I13" s="49" t="n">
        <x:v>46282</x:v>
      </x:c>
    </x:row>
    <x:row r="14" ht="24" hidden="0" customHeight="1">
      <x:c r="A14" s="2"/>
      <x:c r="B14" s="2"/>
      <x:c r="C14" s="45" t="str">
        <x:v>CF008</x:v>
      </x:c>
      <x:c r="D14" s="45" t="str">
        <x:v>상용화·완성체 사례</x:v>
      </x:c>
      <x:c r="E14" s="45" t="str">
        <x:v>BMW 외 물류 계약 사례가 있다</x:v>
      </x:c>
      <x:c r="F14" s="45" t="str">
        <x:v>근거 확인</x:v>
      </x:c>
      <x:c r="G14" s="45" t="str">
        <x:v>2026-05-26 Catalyst Brands의 Reno 물류센터에서 시작하는 commercial agreement 발표와 Brookfield 공통 투자관계를 확인했다. 금액·대수·인식 매출은 이 글에 없다. BMW 계약 실적과 별개다.</x:v>
      </x:c>
      <x:c r="H14" s="45" t="str">
        <x:v>https://www.figure.ai/news/figure-signs-agreement-with-catalyst-brands</x:v>
      </x:c>
      <x:c r="I14" s="49" t="n">
        <x:v>46282</x:v>
      </x:c>
    </x:row>
    <x:row r="15" ht="15" hidden="0" customHeight="1">
      <x:c r="A15" s="2"/>
      <x:c r="B15" s="2"/>
      <x:c r="C15" s="45" t="str">
        <x:v>CF009</x:v>
      </x:c>
      <x:c r="D15" s="45" t="str">
        <x:v>상용화·완성체 사례</x:v>
      </x:c>
      <x:c r="E15" s="45" t="str">
        <x:v>일반 상장주식처럼 직접 매매 가능한 기업으로 분류하지 않는다</x:v>
      </x:c>
      <x:c r="F15" s="45" t="str">
        <x:v>원문 일치</x:v>
      </x:c>
      <x:c r="G15" s="45" t="str">
        <x:v>2026-07-08 공식 공지는 보통주·우선주 및 간접 SPV 지분에도 양도 제한과 이사회 승인이 적용된다고 설명한다. 비상장 주식의 2차시장 접근은 일반 상장주식 매매와 구분한다.</x:v>
      </x:c>
      <x:c r="H15" s="45" t="str">
        <x:v>https://www.figure.ai/news/notice-regarding-unauthorized-attempts-to-sell-figure-stock</x:v>
      </x:c>
      <x:c r="I15" s="49" t="n">
        <x:v>46282</x:v>
      </x:c>
    </x:row>
    <x:row r="16" ht="15" hidden="0" customHeight="1">
      <x:c r="A16" s="2"/>
      <x:c r="B16" s="2"/>
      <x:c r="C16" s="45" t="str">
        <x:v>CF010</x:v>
      </x:c>
      <x:c r="D16" s="45" t="str">
        <x:v>상용화·완성체 사례</x:v>
      </x:c>
      <x:c r="E16" s="45" t="str">
        <x:v>GXO 2024-06-27 다년 RaaS 계약</x:v>
      </x:c>
      <x:c r="F16" s="45" t="str">
        <x:v>원문 일치</x:v>
      </x:c>
      <x:c r="G16" s="45" t="str">
        <x:v>고객 원문에서 다년 협약, Digit·Agility Arc 사용, SPANX 현장 AMR–컨베이어 토트 이동을 확인했다.</x:v>
      </x:c>
      <x:c r="H16" s="45" t="str">
        <x:v>https://investors.gxo.com/news-releases/news-release-details/gxo-signs-industry-first-multi-year-agreement-agility-robotics</x:v>
      </x:c>
      <x:c r="I16" s="49" t="n">
        <x:v>46282</x:v>
      </x:c>
    </x:row>
    <x:row r="17" ht="15" hidden="0" customHeight="1">
      <x:c r="A17" s="2"/>
      <x:c r="B17" s="2"/>
      <x:c r="C17" s="45" t="str">
        <x:v>CF011</x:v>
      </x:c>
      <x:c r="D17" s="45" t="str">
        <x:v>상용화·완성체 사례</x:v>
      </x:c>
      <x:c r="E17" s="45" t="str">
        <x:v>GXO 현장 매출 발생 설명은 있으나 공개 금액은 없다</x:v>
      </x:c>
      <x:c r="F17" s="45" t="str">
        <x:v>원문 일치</x:v>
      </x:c>
      <x:c r="G17" s="45" t="str">
        <x:v>고객 발표에 Agility CEO의 매출 발생 설명이 인용된다. 실제 인식 매출표나 계약금액은 제시되지 않는다.</x:v>
      </x:c>
      <x:c r="H17" s="45" t="str">
        <x:v>https://investors.gxo.com/news-releases/news-release-details/gxo-signs-industry-first-multi-year-agreement-agility-robotics</x:v>
      </x:c>
      <x:c r="I17" s="49" t="n">
        <x:v>46282</x:v>
      </x:c>
    </x:row>
    <x:row r="18" ht="15" hidden="0" customHeight="1">
      <x:c r="A18" s="2"/>
      <x:c r="B18" s="2"/>
      <x:c r="C18" s="45" t="str">
        <x:v>CF012</x:v>
      </x:c>
      <x:c r="D18" s="45" t="str">
        <x:v>상용화·완성체 사례</x:v>
      </x:c>
      <x:c r="E18" s="45" t="str">
        <x:v>Digit 4 누적 65,000시간·GXO 100,000토트·작업 중 약98% 정확도</x:v>
      </x:c>
      <x:c r="F18" s="45" t="str">
        <x:v>원문 일치</x:v>
      </x:c>
      <x:c r="G18" s="45" t="str">
        <x:v>9/15 회사 원문에서 다수 북미 고객 누계와 GXO 토트·on-task accuracy를 확인했다. 한 대의 연속 무고장 가동시간이 아니다.</x:v>
      </x:c>
      <x:c r="H18" s="45" t="str">
        <x:v>https://www.agilityrobotics.com/content/agility-unveils-digit-5-humanoid-robot-built-for-cooperatively-safe-work-at-scale</x:v>
      </x:c>
      <x:c r="I18" s="49" t="n">
        <x:v>46282</x:v>
      </x:c>
    </x:row>
    <x:row r="19" ht="15" hidden="0" customHeight="1">
      <x:c r="A19" s="2"/>
      <x:c r="B19" s="2"/>
      <x:c r="C19" s="45" t="str">
        <x:v>CF013</x:v>
      </x:c>
      <x:c r="D19" s="45" t="str">
        <x:v>상용화·완성체 사례</x:v>
      </x:c>
      <x:c r="E19" s="45" t="str">
        <x:v>Digit 5는 개발 중이며 일부 영상·이미지는 애니메이션</x:v>
      </x:c>
      <x:c r="F19" s="45" t="str">
        <x:v>원문 일치</x:v>
      </x:c>
      <x:c r="G19" s="45" t="str">
        <x:v>제품 페이지 하단은 개발 중·사양 변경 가능·일부 설명용 애니메이션·사전생산 하드웨어 내부 시험 추정치라고 명시한다.</x:v>
      </x:c>
      <x:c r="H19" s="45" t="str">
        <x:v>https://www.agilityrobotics.com/solutions/digit-5</x:v>
      </x:c>
      <x:c r="I19" s="49" t="n">
        <x:v>46282</x:v>
      </x:c>
    </x:row>
    <x:row r="20" ht="15" hidden="0" customHeight="1">
      <x:c r="A20" s="2"/>
      <x:c r="B20" s="2"/>
      <x:c r="C20" s="45" t="str">
        <x:v>CF014</x:v>
      </x:c>
      <x:c r="D20" s="45" t="str">
        <x:v>상용화·완성체 사례</x:v>
      </x:c>
      <x:c r="E20" s="45" t="str">
        <x:v>Digit 5는 2027 상반기 early access·연말 일반 공급 목표</x:v>
      </x:c>
      <x:c r="F20" s="45" t="str">
        <x:v>원문 일치</x:v>
      </x:c>
      <x:c r="G20" s="45" t="str">
        <x:v>공식 발표는 두 공급 시점을 모두 expected로 제시한다. 2026년 현재 일반 납품 완료라는 뜻이 아니다.</x:v>
      </x:c>
      <x:c r="H20" s="45" t="str">
        <x:v>https://www.agilityrobotics.com/content/agility-unveils-digit-5-humanoid-robot-built-for-cooperatively-safe-work-at-scale</x:v>
      </x:c>
      <x:c r="I20" s="49" t="n">
        <x:v>46282</x:v>
      </x:c>
    </x:row>
    <x:row r="21" ht="24" hidden="0" customHeight="1">
      <x:c r="A21" s="2"/>
      <x:c r="B21" s="2"/>
      <x:c r="C21" s="45" t="str">
        <x:v>CF015</x:v>
      </x:c>
      <x:c r="D21" s="45" t="str">
        <x:v>상용화·완성체 사례</x:v>
      </x:c>
      <x:c r="E21" s="45" t="str">
        <x:v>Digit 5 3억달러 초과 주문에는 마일스톤 조건이 있다</x:v>
      </x:c>
      <x:c r="F21" s="45" t="str">
        <x:v>원문 일치</x:v>
      </x:c>
      <x:c r="G21" s="45" t="str">
        <x:v>2026-09-15와 06-24 공식 발표 모두 특정 계약 마일스톤 충족을 조건으로 붙인다. 9/15 원문은 주문액의 측정 시점을 2026년 5월로 표시한다. 조건부 주문액과 인도·매출을 구분한다.</x:v>
      </x:c>
      <x:c r="H21" s="45" t="str">
        <x:v>https://www.agilityrobotics.com/content/agility-unveils-digit-5-humanoid-robot-built-for-cooperatively-safe-work-at-scale
https://www.agilityrobotics.com/content/agility-robotics-to-go-public-through-merger-with-churchill-capital-corp-xi</x:v>
      </x:c>
      <x:c r="I21" s="49" t="n">
        <x:v>46282</x:v>
      </x:c>
    </x:row>
    <x:row r="22" ht="24" hidden="0" customHeight="1">
      <x:c r="A22" s="2"/>
      <x:c r="B22" s="2"/>
      <x:c r="C22" s="45" t="str">
        <x:v>CF016</x:v>
      </x:c>
      <x:c r="D22" s="45" t="str">
        <x:v>상용화·완성체 사례</x:v>
      </x:c>
      <x:c r="E22" s="45" t="str">
        <x:v>Churchill XI 합병계약과 예정 AGLT는 종결·상장 완료가 아니다</x:v>
      </x:c>
      <x:c r="F22" s="45" t="str">
        <x:v>원문 일치</x:v>
      </x:c>
      <x:c r="G22" s="45" t="str">
        <x:v>6/24는 definitive agreement와 종결 후 AGLT 계획이다. 9/15 발표도 proposed transaction의 주주 승인 절차를 미래형으로 설명한다.</x:v>
      </x:c>
      <x:c r="H22" s="45" t="str">
        <x:v>https://www.agilityrobotics.com/content/agility-unveils-digit-5-humanoid-robot-built-for-cooperatively-safe-work-at-scale
https://www.agilityrobotics.com/content/agility-robotics-to-go-public-through-merger-with-churchill-capital-corp-xi</x:v>
      </x:c>
      <x:c r="I22" s="49" t="n">
        <x:v>46282</x:v>
      </x:c>
    </x:row>
    <x:row r="23" ht="15" hidden="0" customHeight="1">
      <x:c r="A23" s="2"/>
      <x:c r="B23" s="2"/>
      <x:c r="C23" s="45" t="str">
        <x:v>CF017</x:v>
      </x:c>
      <x:c r="D23" s="45" t="str">
        <x:v>상용화·완성체 사례</x:v>
      </x:c>
      <x:c r="E23" s="45" t="str">
        <x:v>Mercedes Apollo 현장 학습·시험과 원격조작·AR</x:v>
      </x:c>
      <x:c r="F23" s="45" t="str">
        <x:v>원문 일치</x:v>
      </x:c>
      <x:c r="G23" s="45" t="str">
        <x:v>3/18 고객 원문은 자재 운반·초기 품질검사 시험, 원격조작과 AR 지식 이전, 자율화 추진을 구분한다.</x:v>
      </x:c>
      <x:c r="H23" s="45" t="str">
        <x:v>https://group.mercedes-benz.com/company/production/production-network/mbdfc-humanoid-robots.html</x:v>
      </x:c>
      <x:c r="I23" s="49" t="n">
        <x:v>46282</x:v>
      </x:c>
    </x:row>
    <x:row r="24" ht="15" hidden="0" customHeight="1">
      <x:c r="A24" s="2"/>
      <x:c r="B24" s="2"/>
      <x:c r="C24" s="45" t="str">
        <x:v>CF018</x:v>
      </x:c>
      <x:c r="D24" s="45" t="str">
        <x:v>상용화·완성체 사례</x:v>
      </x:c>
      <x:c r="E24" s="45" t="str">
        <x:v>Apollo 2는 이족형·바퀴형 데이터 수집 플랫폼이고 Apollo 3가 후속 상업 제품</x:v>
      </x:c>
      <x:c r="F24" s="45" t="str">
        <x:v>원문 일치</x:v>
      </x:c>
      <x:c r="G24" s="45" t="str">
        <x:v>6/30 원문에서 두 하체 구성, teleoperation과 autonomous execution 결합, Gemini Robotics 학습, 후속 Apollo 3를 명확히 구분한다.</x:v>
      </x:c>
      <x:c r="H24" s="45" t="str">
        <x:v>https://apptronik.com/news-collection/welcome-to-robot-park-where-apptroniks-apollo-goes-to-work</x:v>
      </x:c>
      <x:c r="I24" s="49" t="n">
        <x:v>46282</x:v>
      </x:c>
    </x:row>
    <x:row r="25" ht="15" hidden="0" customHeight="1">
      <x:c r="A25" s="2"/>
      <x:c r="B25" s="2"/>
      <x:c r="C25" s="45" t="str">
        <x:v>CF019</x:v>
      </x:c>
      <x:c r="D25" s="45" t="str">
        <x:v>상용화·완성체 사례</x:v>
      </x:c>
      <x:c r="E25" s="45" t="str">
        <x:v>2025-02-25 협력은 파일럿·제조 협력이며 생산량 수치가 아니다</x:v>
      </x:c>
      <x:c r="F25" s="45" t="str">
        <x:v>원문 일치</x:v>
      </x:c>
      <x:c r="G25" s="45" t="str">
        <x:v>공동 원문은 pilot and strategic collaboration, 신규 기체의 현장 검증과 미래 제조 적용 업무를 설명한다.</x:v>
      </x:c>
      <x:c r="H25" s="45" t="str">
        <x:v>https://apptronik.com/news-collection/apptronik-and-jabil-collaborate-to-scale-production</x:v>
      </x:c>
      <x:c r="I25" s="49" t="n">
        <x:v>46282</x:v>
      </x:c>
    </x:row>
    <x:row r="26" ht="15" hidden="0" customHeight="1">
      <x:c r="A26" s="2"/>
      <x:c r="B26" s="2"/>
      <x:c r="C26" s="45" t="str">
        <x:v>CF020</x:v>
      </x:c>
      <x:c r="D26" s="45" t="str">
        <x:v>상용화·완성체 사례</x:v>
      </x:c>
      <x:c r="E26" s="45" t="str">
        <x:v>Atlas 순간50kg·지속30kg 적재와 자동 배터리 교체</x:v>
      </x:c>
      <x:c r="F26" s="45" t="str">
        <x:v>원문 일치</x:v>
      </x:c>
      <x:c r="G26" s="45" t="str">
        <x:v>현재 공식 제품표가 순간·지속 적재를 구분하고 충전소 이동·자체 배터리 교체를 설명한다. 제조사 명세이며 교대 처리량 검증이 아니다.</x:v>
      </x:c>
      <x:c r="H26" s="45" t="str">
        <x:v>https://bostondynamics.com/products/atlas/</x:v>
      </x:c>
      <x:c r="I26" s="49" t="n">
        <x:v>46282</x:v>
      </x:c>
    </x:row>
    <x:row r="27" ht="24" hidden="0" customHeight="1">
      <x:c r="A27" s="2"/>
      <x:c r="B27" s="2"/>
      <x:c r="C27" s="45" t="str">
        <x:v>CF021</x:v>
      </x:c>
      <x:c r="D27" s="45" t="str">
        <x:v>상용화·완성체 사례</x:v>
      </x:c>
      <x:c r="E27" s="45" t="str">
        <x:v>현대차 현장 순서배열 시험과 HMGMA 2028·조립2030 목표</x:v>
      </x:c>
      <x:c r="F27" s="45" t="str">
        <x:v>원문 일치</x:v>
      </x:c>
      <x:c r="G27" s="45" t="str">
        <x:v>Atlas 제품 페이지는 Hyundai field testing, 그룹 7/16 원문은 2028 도입과 기술·운영·사업 요건 충족 시 2030 확대를 설명한다.</x:v>
      </x:c>
      <x:c r="H27" s="45" t="str">
        <x:v>https://bostondynamics.com/products/atlas/
https://www.hyundai.com/worldwide/en/newsroom/detail/0000001225</x:v>
      </x:c>
      <x:c r="I27" s="49" t="n">
        <x:v>46282</x:v>
      </x:c>
    </x:row>
    <x:row r="28" ht="15" hidden="0" customHeight="1">
      <x:c r="A28" s="2"/>
      <x:c r="B28" s="2"/>
      <x:c r="C28" s="45" t="str">
        <x:v>CF022</x:v>
      </x:c>
      <x:c r="D28" s="45" t="str">
        <x:v>상용화·완성체 사례</x:v>
      </x:c>
      <x:c r="E28" s="45" t="str">
        <x:v>SoftBank 잔여 지분 인수는 7/16 현재 추진·승인 절차 단계</x:v>
      </x:c>
      <x:c r="F28" s="45" t="str">
        <x:v>원문 일치</x:v>
      </x:c>
      <x:c r="G28" s="45" t="str">
        <x:v>원문은 pursuing acquisition 및 내부 거버넌스·승인·정산 조건을 명시한다. 100% 인수 완료 근거가 아니다.</x:v>
      </x:c>
      <x:c r="H28" s="45" t="str">
        <x:v>https://www.hyundai.com/worldwide/en/newsroom/detail/0000001225</x:v>
      </x:c>
      <x:c r="I28" s="49" t="n">
        <x:v>46282</x:v>
      </x:c>
    </x:row>
    <x:row r="29" ht="15" hidden="0" customHeight="1">
      <x:c r="A29" s="2"/>
      <x:c r="B29" s="2"/>
      <x:c r="C29" s="45" t="str">
        <x:v>CF023</x:v>
      </x:c>
      <x:c r="D29" s="45" t="str">
        <x:v>상용화·완성체 사례</x:v>
      </x:c>
      <x:c r="E29" s="45" t="str">
        <x:v>NEO 모르는 작업에는 Expert Mode 원격지원이 있다</x:v>
      </x:c>
      <x:c r="F29" s="45" t="str">
        <x:v>원문 일치</x:v>
      </x:c>
      <x:c r="G29" s="45" t="str">
        <x:v>현재 제품 페이지는 모르는 복잡한 작업에 예약된 원격 전문가가 감독·학습을 지원한다고 설명한다.</x:v>
      </x:c>
      <x:c r="H29" s="45" t="str">
        <x:v>https://www.1x.tech/neo</x:v>
      </x:c>
      <x:c r="I29" s="49" t="n">
        <x:v>46282</x:v>
      </x:c>
    </x:row>
    <x:row r="30" ht="24" hidden="0" customHeight="1">
      <x:c r="A30" s="2"/>
      <x:c r="B30" s="2"/>
      <x:c r="C30" s="45" t="str">
        <x:v>CF024</x:v>
      </x:c>
      <x:c r="D30" s="45" t="str">
        <x:v>상용화·완성체 사례</x:v>
      </x:c>
      <x:c r="E30" s="45" t="str">
        <x:v>NEO 1만 대 예약의 예약 개시일·회사 설명일·생산계획 기간</x:v>
      </x:c>
      <x:c r="F30" s="45" t="str">
        <x:v>시점 구분</x:v>
      </x:c>
      <x:c r="G30" s="45" t="str">
        <x:v>2026-04-30 회사 설명은 2025-10-28 예약 개시 후 5일 만에 향후 1년 생산계획에 해당하는 1만 대가 예약됐다고 말한다. 설명일의 다음 해인 2027년 생산량이나 인도 완료 수량을 뜻하지 않는다.</x:v>
      </x:c>
      <x:c r="H30" s="45" t="str">
        <x:v>https://www.1x.tech/discover/neo-factory</x:v>
      </x:c>
      <x:c r="I30" s="49" t="n">
        <x:v>46282</x:v>
      </x:c>
    </x:row>
    <x:row r="31" ht="15" hidden="0" customHeight="1">
      <x:c r="A31" s="2"/>
      <x:c r="B31" s="2"/>
      <x:c r="C31" s="45" t="str">
        <x:v>CF025</x:v>
      </x:c>
      <x:c r="D31" s="45" t="str">
        <x:v>상용화·완성체 사례</x:v>
      </x:c>
      <x:c r="E31" s="45" t="str">
        <x:v>첫 출하2026 목표·사내 가정 시험 확대·일반 인도 수량 미확인</x:v>
      </x:c>
      <x:c r="F31" s="45" t="str">
        <x:v>원문 일치</x:v>
      </x:c>
      <x:c r="G31" s="45" t="str">
        <x:v>원문은 현재 기체를 사내 시험에 우선 배정하며 첫 인도를 2026년 시작할 계획이라고 설명한다. 예약 1만대는 인도완료 대수가 아니다.</x:v>
      </x:c>
      <x:c r="H31" s="45" t="str">
        <x:v>https://www.1x.tech/discover/neo-factory</x:v>
      </x:c>
      <x:c r="I31" s="49" t="n">
        <x:v>46282</x:v>
      </x:c>
    </x:row>
    <x:row r="32" ht="15" hidden="0" customHeight="1">
      <x:c r="A32" s="2"/>
      <x:c r="B32" s="2"/>
      <x:c r="C32" s="45" t="str">
        <x:v>CF026</x:v>
      </x:c>
      <x:c r="D32" s="45" t="str">
        <x:v>상용화·완성체 사례</x:v>
      </x:c>
      <x:c r="E32" s="45" t="str">
        <x:v>손25DOF=손가락·손바닥22+손목3</x:v>
      </x:c>
      <x:c r="F32" s="45" t="str">
        <x:v>원문 일치</x:v>
      </x:c>
      <x:c r="G32" s="45" t="str">
        <x:v>7/9 공식 엔지니어링 설명이 22 fully actuated DoF와 3 wrist를 합산한다고 명시한다.</x:v>
      </x:c>
      <x:c r="H32" s="45" t="str">
        <x:v>https://www.1x.tech/discover/neos-hands</x:v>
      </x:c>
      <x:c r="I32" s="49" t="n">
        <x:v>46282</x:v>
      </x:c>
    </x:row>
    <x:row r="33" ht="15" hidden="0" customHeight="1">
      <x:c r="A33" s="2"/>
      <x:c r="B33" s="2"/>
      <x:c r="C33" s="45" t="str">
        <x:v>CF027</x:v>
      </x:c>
      <x:c r="D33" s="45" t="str">
        <x:v>상용화·완성체 사례</x:v>
      </x:c>
      <x:c r="E33" s="45" t="str">
        <x:v>AEON 단기15kg·지속8kg·최대4시간 배터리</x:v>
      </x:c>
      <x:c r="F33" s="45" t="str">
        <x:v>원문 일치</x:v>
      </x:c>
      <x:c r="G33" s="45" t="str">
        <x:v>공식 사양은 short-term과 constant carry, up to 4 hours를 구분한다.</x:v>
      </x:c>
      <x:c r="H33" s="45" t="str">
        <x:v>https://robotics.hexagon.com/product/</x:v>
      </x:c>
      <x:c r="I33" s="49" t="n">
        <x:v>46282</x:v>
      </x:c>
    </x:row>
    <x:row r="34" ht="15" hidden="0" customHeight="1">
      <x:c r="A34" s="2"/>
      <x:c r="B34" s="2"/>
      <x:c r="C34" s="45" t="str">
        <x:v>CF028</x:v>
      </x:c>
      <x:c r="D34" s="45" t="str">
        <x:v>상용화·완성체 사례</x:v>
      </x:c>
      <x:c r="E34" s="45" t="str">
        <x:v>6월 제한 생산 업무·훈련과 연말 생산 배치 목표</x:v>
      </x:c>
      <x:c r="F34" s="45" t="str">
        <x:v>원문 일치</x:v>
      </x:c>
      <x:c r="G34" s="45" t="str">
        <x:v>6/15 게시·6/12 행사 원문은 업무 시작과 미래 훈련을 병행하며 정식 생산 배치를 연말로 설명한다. 배터리 조립 공장 이동도 후속 실증이다.</x:v>
      </x:c>
      <x:c r="H34" s="45" t="str">
        <x:v>https://robotics.hexagon.com/new-milestone-with-bmw-group-industrial-humanoid-deployment/</x:v>
      </x:c>
      <x:c r="I34" s="49" t="n">
        <x:v>46282</x:v>
      </x:c>
    </x:row>
    <x:row r="35" ht="15" hidden="0" customHeight="1">
      <x:c r="A35" s="2"/>
      <x:c r="B35" s="2"/>
      <x:c r="C35" s="45" t="str">
        <x:v>CF029</x:v>
      </x:c>
      <x:c r="D35" s="45" t="str">
        <x:v>상용화·완성체 사례</x:v>
      </x:c>
      <x:c r="E35" s="45" t="str">
        <x:v>7년 최소1,000대 계획과 액추에이터 공급협력</x:v>
      </x:c>
      <x:c r="F35" s="45" t="str">
        <x:v>원문 일치</x:v>
      </x:c>
      <x:c r="G35" s="45" t="str">
        <x:v>4/22 고객·공급사 원문은 strain wave·planetary gear actuator 개발 공급협약과 향후 7년 도입 계획을 따로 설명한다.</x:v>
      </x:c>
      <x:c r="H35" s="45" t="str">
        <x:v>https://www.schaeffler.com/en/investor-relations/events-publications/ir-releases/ir_releases_detail.jsp?id=88184988</x:v>
      </x:c>
      <x:c r="I35" s="49" t="n">
        <x:v>46282</x:v>
      </x:c>
    </x:row>
    <x:row r="36" ht="15" hidden="0" customHeight="1">
      <x:c r="A36" s="2"/>
      <x:c r="B36" s="2"/>
      <x:c r="C36" s="45" t="str">
        <x:v>CF030</x:v>
      </x:c>
      <x:c r="D36" s="45" t="str">
        <x:v>상용화·완성체 사례</x:v>
      </x:c>
      <x:c r="E36" s="45" t="str">
        <x:v>8/19 AEON은 Gym에서 훈련·검증 후 배치 준비</x:v>
      </x:c>
      <x:c r="F36" s="45" t="str">
        <x:v>원문 일치</x:v>
      </x:c>
      <x:c r="G36" s="45" t="str">
        <x:v>공동 글의 Train–Validate–Deploy 구조와 계획된 1,000대 표현을 확인했다. 이미 1,000대 가동 주장이 아니다.</x:v>
      </x:c>
      <x:c r="H36" s="45" t="str">
        <x:v>https://robotics.hexagon.com/aeon-trains-at-schaeffler-humanoid-gym/</x:v>
      </x:c>
      <x:c r="I36" s="49" t="n">
        <x:v>46282</x:v>
      </x:c>
    </x:row>
    <x:row r="37" ht="15" hidden="0" customHeight="1">
      <x:c r="A37" s="2"/>
      <x:c r="B37" s="2"/>
      <x:c r="C37" s="45" t="str">
        <x:v>CF031</x:v>
      </x:c>
      <x:c r="D37" s="45" t="str">
        <x:v>상용화·완성체 사례</x:v>
      </x:c>
      <x:c r="E37" s="45" t="str">
        <x:v>Unitree 지분1.198%·12개월 보호예수·비현금 재평가</x:v>
      </x:c>
      <x:c r="F37" s="45" t="str">
        <x:v>원문 일치</x:v>
      </x:c>
      <x:c r="G37" s="45" t="str">
        <x:v>8/19 공시는 발행주식 대비 지분과 12개월 락업, 최종 평가기준일9/30, 비현금 IAC를 명시한다.</x:v>
      </x:c>
      <x:c r="H37" s="45" t="str">
        <x:v>https://hexagon.com/company/newsroom/press-releases/2026/hexagons-shareholding-in-hangzhou-yushu-technology-co-ltd-unitree-technologies</x:v>
      </x:c>
      <x:c r="I37" s="49" t="n">
        <x:v>46282</x:v>
      </x:c>
    </x:row>
    <x:row r="38" ht="15" hidden="0" customHeight="1">
      <x:c r="A38" s="2"/>
      <x:c r="B38" s="2"/>
      <x:c r="C38" s="45" t="str">
        <x:v>CF032</x:v>
      </x:c>
      <x:c r="D38" s="45" t="str">
        <x:v>상용화·완성체 사례</x:v>
      </x:c>
      <x:c r="E38" s="45" t="str">
        <x:v>HMND01 시험에서60토트/시간·8시간초과·90%초과 지표</x:v>
      </x:c>
      <x:c r="F38" s="45" t="str">
        <x:v>원문 일치</x:v>
      </x:c>
      <x:c r="G38" s="45" t="str">
        <x:v>4/16 고객 원문은 모든 목표 성능 지표를 충족했다고 설명한다. 연간 가동률·사람 개입·기체 수는 이 수치만으로 계산할 수 없다.</x:v>
      </x:c>
      <x:c r="H38" s="45" t="str">
        <x:v>https://press.siemens.com/global/en/pressrelease/siemens-and-humanoid-bring-physical-ai-factory-floor-deploying-humanoids-industrial</x:v>
      </x:c>
      <x:c r="I38" s="49" t="n">
        <x:v>46282</x:v>
      </x:c>
    </x:row>
    <x:row r="39" ht="15" hidden="0" customHeight="1">
      <x:c r="A39" s="2"/>
      <x:c r="B39" s="2"/>
      <x:c r="C39" s="45" t="str">
        <x:v>CF033</x:v>
      </x:c>
      <x:c r="D39" s="45" t="str">
        <x:v>상용화·완성체 사례</x:v>
      </x:c>
      <x:c r="E39" s="45" t="str">
        <x:v>구속력 있는 단계계약과2032 네자릿수 목표</x:v>
      </x:c>
      <x:c r="F39" s="45" t="str">
        <x:v>원문 일치</x:v>
      </x:c>
      <x:c r="G39" s="45" t="str">
        <x:v>5/13 공동 글은 binding phased agreement, four-digit target, 최초 단계2026/12~2027/6와 현장 검증 순서를 명시한다.</x:v>
      </x:c>
      <x:c r="H39" s="45" t="str">
        <x:v>https://thehumanoid.ai/humanoid-secures-landmark-deal-with-schaeffler-to-deploy-thousands-of-humanoid-robots/</x:v>
      </x:c>
      <x:c r="I39" s="49" t="n">
        <x:v>46282</x:v>
      </x:c>
    </x:row>
    <x:row r="40" ht="15" hidden="0" customHeight="1">
      <x:c r="A40" s="2"/>
      <x:c r="B40" s="2"/>
      <x:c r="C40" s="45" t="str">
        <x:v>CF034</x:v>
      </x:c>
      <x:c r="D40" s="45" t="str">
        <x:v>상용화·완성체 사례</x:v>
      </x:c>
      <x:c r="E40" s="45" t="str">
        <x:v>RaaS와2031까지액추에이터수요절반초과 공급</x:v>
      </x:c>
      <x:c r="F40" s="45" t="str">
        <x:v>원문 일치</x:v>
      </x:c>
      <x:c r="G40" s="45" t="str">
        <x:v>원문은 서비스 포함 RaaS와 5년 부품협약을 구분한다. 일곱 자릿수 부품 수는 expected다.</x:v>
      </x:c>
      <x:c r="H40" s="45" t="str">
        <x:v>https://thehumanoid.ai/humanoid-secures-landmark-deal-with-schaeffler-to-deploy-thousands-of-humanoid-robots/</x:v>
      </x:c>
      <x:c r="I40" s="49" t="n">
        <x:v>46282</x:v>
      </x:c>
    </x:row>
    <x:row r="41" ht="48" hidden="0" customHeight="1">
      <x:c r="A41" s="2"/>
      <x:c r="B41" s="2"/>
      <x:c r="C41" s="45" t="str">
        <x:v>CF035</x:v>
      </x:c>
      <x:c r="D41" s="45" t="str">
        <x:v>상용화·완성체 사례</x:v>
      </x:c>
      <x:c r="E41" s="45" t="str">
        <x:v>2026-08-19 STAR 상장688836</x:v>
      </x:c>
      <x:c r="F41" s="45" t="str">
        <x:v>원문 일치</x:v>
      </x:c>
      <x:c r="G41" s="45" t="str">
        <x:v>3쪽 공식 공시의 첫 페이지에 종목코드와8/19상장,2쪽에 발행주식404,464,340주가 명시되어 있다.</x:v>
      </x:c>
      <x:c r="H41" s="45" t="str">
        <x:v>https://www.unitree.com/disclosure/listedinfo/announcement/%E5%AE%87%E6%A0%91%E7%A7%91%E6%8A%80%20%E5%85%B3%E4%BA%8E%E5%8F%98%E6%9B%B4%E6%B3%A8%E5%86%8C%E8%B5%84%E6%9C%AC%E3%80%81%E5%85%AC%E5%8F%B8%E7%B1%BB%E5%9E%8B%E5%8F%8A%E4%BF%AE%E8%AE%A2%E3%80%8A%E5%85%AC%E5%8F%B8%E7%AB%A0%E7%A8%8B%E3%80%8B%E5%B9%B6%E5%8A%9E%E7%90%86%E5%B7%A5%E5%95%86%E5%8F%98%E6%9B%B4%E7%99%BB%E8%AE%B0%E7%9A%84%E5%85%AC%E5%91%8A.pdf</x:v>
      </x:c>
      <x:c r="I41" s="49" t="n">
        <x:v>46282</x:v>
      </x:c>
    </x:row>
    <x:row r="42" ht="15" hidden="0" customHeight="1">
      <x:c r="A42" s="2"/>
      <x:c r="B42" s="2"/>
      <x:c r="C42" s="45" t="str">
        <x:v>CF036</x:v>
      </x:c>
      <x:c r="D42" s="45" t="str">
        <x:v>상용화·완성체 사례</x:v>
      </x:c>
      <x:c r="E42" s="45" t="str">
        <x:v>G1기본13,500달러·23DOF와EDU23~43</x:v>
      </x:c>
      <x:c r="F42" s="45" t="str">
        <x:v>원문 일치</x:v>
      </x:c>
      <x:c r="G42" s="45" t="str">
        <x:v>직접 내려받은 제품표는 US$13.5K에 세금·운송 제외, 기본23·EDU23~43과 손·개발 옵션 차이를 명시한다.</x:v>
      </x:c>
      <x:c r="H42" s="45" t="str">
        <x:v>https://www.unitree.com/g1/</x:v>
      </x:c>
      <x:c r="I42" s="49" t="n">
        <x:v>46282</x:v>
      </x:c>
    </x:row>
    <x:row r="43" ht="15" hidden="0" customHeight="1">
      <x:c r="A43" s="2"/>
      <x:c r="B43" s="2"/>
      <x:c r="C43" s="45" t="str">
        <x:v>CF037</x:v>
      </x:c>
      <x:c r="D43" s="45" t="str">
        <x:v>상용화·완성체 사례</x:v>
      </x:c>
      <x:c r="E43" s="45" t="str">
        <x:v>R1공식상점4,900달러부터</x:v>
      </x:c>
      <x:c r="F43" s="45" t="str">
        <x:v>원문 일치</x:v>
      </x:c>
      <x:c r="G43" s="45" t="str">
        <x:v>조회일 상품 페이지의 선택 옵션 가격에4,900달러가 나타난다. 산업 통합가격이 아니다.</x:v>
      </x:c>
      <x:c r="H43" s="45" t="str">
        <x:v>https://shop.unitree.com/products/unitree-r1</x:v>
      </x:c>
      <x:c r="I43" s="49" t="n">
        <x:v>46282</x:v>
      </x:c>
    </x:row>
    <x:row r="44" ht="15" hidden="0" customHeight="1">
      <x:c r="A44" s="2"/>
      <x:c r="B44" s="2"/>
      <x:c r="C44" s="45" t="str">
        <x:v>CF038</x:v>
      </x:c>
      <x:c r="D44" s="45" t="str">
        <x:v>상용화·완성체 사례</x:v>
      </x:c>
      <x:c r="E44" s="45" t="str">
        <x:v>WalkerS2 3분배터리교체·15kg취급은제조사명세</x:v>
      </x:c>
      <x:c r="F44" s="45" t="str">
        <x:v>원문 일치</x:v>
      </x:c>
      <x:c r="G44" s="45" t="str">
        <x:v>제품 원문은 이중배터리 정밀 교체3분 이내와15kg하중을 설명한다. 전체 현장 가동률 수치가 아니다.</x:v>
      </x:c>
      <x:c r="H44" s="45" t="str">
        <x:v>https://www.ubtrobot.com/en/humanoid/products/walker-s2</x:v>
      </x:c>
      <x:c r="I44" s="49" t="n">
        <x:v>46282</x:v>
      </x:c>
    </x:row>
    <x:row r="45" ht="15" hidden="0" customHeight="1">
      <x:c r="A45" s="2"/>
      <x:c r="B45" s="2"/>
      <x:c r="C45" s="45" t="str">
        <x:v>CF039</x:v>
      </x:c>
      <x:c r="D45" s="45" t="str">
        <x:v>상용화·완성체 사례</x:v>
      </x:c>
      <x:c r="E45" s="45" t="str">
        <x:v>DongfengLiuqi공장WalkerS1 8대</x:v>
      </x:c>
      <x:c r="F45" s="45" t="str">
        <x:v>원문 일치</x:v>
      </x:c>
      <x:c r="G45" s="45" t="str">
        <x:v>고객6/19모형 설명이8台WalkerS1의 자재분류·상자운반을 명시한다. 계약금액·비용절감 자료는 없다.</x:v>
      </x:c>
      <x:c r="H45" s="45" t="str">
        <x:v>https://www.dfmc.com.cn/news/company/news_20250619_0945.html</x:v>
      </x:c>
      <x:c r="I45" s="49" t="n">
        <x:v>46282</x:v>
      </x:c>
    </x:row>
    <x:row r="46" ht="15" hidden="0" customHeight="1">
      <x:c r="A46" s="2"/>
      <x:c r="B46" s="2"/>
      <x:c r="C46" s="45" t="str">
        <x:v>CF040</x:v>
      </x:c>
      <x:c r="D46" s="45" t="str">
        <x:v>상용화·완성체 사례</x:v>
      </x:c>
      <x:c r="E46" s="45" t="str">
        <x:v>H12026총매출1269.1mRMB·휴머노이드범주590.3m·46.5%·921대</x:v>
      </x:c>
      <x:c r="F46" s="45" t="str">
        <x:v>원문 일치</x:v>
      </x:c>
      <x:c r="G46" s="45" t="str">
        <x:v>미감사 반기 공시의 사업별 매출표와사업검토에서 모든 수치를 확인했다. 순손실338.827mRMB도 확인된다.</x:v>
      </x:c>
      <x:c r="H46" s="45" t="str">
        <x:v>https://owebsite-cdn.ubtrobot.com/resources/file/2026/09/02/844614814105669.pdf</x:v>
      </x:c>
      <x:c r="I46" s="49" t="n">
        <x:v>46282</x:v>
      </x:c>
    </x:row>
    <x:row r="47" ht="15" hidden="0" customHeight="1">
      <x:c r="A47" s="2"/>
      <x:c r="B47" s="2"/>
      <x:c r="C47" s="45" t="str">
        <x:v>CF041</x:v>
      </x:c>
      <x:c r="D47" s="45" t="str">
        <x:v>상용화·완성체 사례</x:v>
      </x:c>
      <x:c r="E47" s="45" t="str">
        <x:v>590.3m범주는이족형만이아니며바퀴형·서비스포함</x:v>
      </x:c>
      <x:c r="F47" s="45" t="str">
        <x:v>원문 일치</x:v>
      </x:c>
      <x:c r="G47" s="45" t="str">
        <x:v>full-size embodied intelligent humanoid robot products and services 사업 설명에CruzrY1 wheeled와다른제품이포함된다.</x:v>
      </x:c>
      <x:c r="H47" s="45" t="str">
        <x:v>https://owebsite-cdn.ubtrobot.com/resources/file/2026/09/02/844614814105669.pdf</x:v>
      </x:c>
      <x:c r="I47" s="49" t="n">
        <x:v>46282</x:v>
      </x:c>
    </x:row>
    <x:row r="48" ht="15" hidden="0" customHeight="1">
      <x:c r="A48" s="2"/>
      <x:c r="B48" s="2"/>
      <x:c r="C48" s="45" t="str">
        <x:v>CF042</x:v>
      </x:c>
      <x:c r="D48" s="45" t="str">
        <x:v>상용화·완성체 사례</x:v>
      </x:c>
      <x:c r="E48" s="45" t="str">
        <x:v>6/28누적15,000번째로봇생산·기념기체G2</x:v>
      </x:c>
      <x:c r="F48" s="45" t="str">
        <x:v>원문 일치</x:v>
      </x:c>
      <x:c r="G48" s="45" t="str">
        <x:v>공식 발표의 milestone unit은G2이며 robot rollout과scaled delivery 전환을 설명한다. 판매·설치·가동1.5만대확인이아니다.</x:v>
      </x:c>
      <x:c r="H48" s="45" t="str">
        <x:v>https://www.agibot.com/article/231/detail/82.html</x:v>
      </x:c>
      <x:c r="I48" s="49" t="n">
        <x:v>46282</x:v>
      </x:c>
    </x:row>
    <x:row r="49" ht="15" hidden="0" customHeight="1">
      <x:c r="A49" s="2"/>
      <x:c r="B49" s="2"/>
      <x:c r="C49" s="45" t="str">
        <x:v>CF043</x:v>
      </x:c>
      <x:c r="D49" s="45" t="str">
        <x:v>상용화·완성체 사례</x:v>
      </x:c>
      <x:c r="E49" s="45" t="str">
        <x:v>6/29공장방송집계64시간초과·64,828tasks·99.99%·라인산출17,625</x:v>
      </x:c>
      <x:c r="F49" s="45" t="str">
        <x:v>원문 일치</x:v>
      </x:c>
      <x:c r="G49" s="45" t="str">
        <x:v>공식 본문에서 여러 로봇·6일기간·해당 집계를 확인했다. 기체별 로그·전체인력·독립감사 없이회사집계로남겨야한다.</x:v>
      </x:c>
      <x:c r="H49" s="45" t="str">
        <x:v>https://www.agibot.com/article/231/detail/83.html</x:v>
      </x:c>
      <x:c r="I49" s="49" t="n">
        <x:v>46282</x:v>
      </x:c>
    </x:row>
    <x:row r="50" ht="24" hidden="0" customHeight="1">
      <x:c r="A50" s="2"/>
      <x:c r="B50" s="2"/>
      <x:c r="C50" s="45" t="str">
        <x:v>CF044</x:v>
      </x:c>
      <x:c r="D50" s="45" t="str">
        <x:v>상용화·완성체 사례</x:v>
      </x:c>
      <x:c r="E50" s="45" t="str">
        <x:v>6/28약100누적방송시간과6/29 64시간초과작업은분모불명</x:v>
      </x:c>
      <x:c r="F50" s="45" t="str">
        <x:v>원문 간 범위 차이</x:v>
      </x:c>
      <x:c r="G50" s="45" t="str">
        <x:v>서로 다른 공식 글에 약 100 누적 방송시간과 64시간 초과 작업이 각각 표현되어 있다. 한 수치로 통일하거나 6일을 144시간 무개입으로 환산할 근거는 없다. 외부 기사의 140시간·99.9%와도 집계 범위를 구분한다.</x:v>
      </x:c>
      <x:c r="H50" s="45" t="str">
        <x:v>https://www.agibot.com/article/231/detail/82.html
https://www.agibot.com/article/231/detail/83.html</x:v>
      </x:c>
      <x:c r="I50" s="49" t="n">
        <x:v>46282</x:v>
      </x:c>
    </x:row>
    <x:row r="51" ht="15" hidden="0" customHeight="1">
      <x:c r="A51" s="2"/>
      <x:c r="B51" s="2"/>
      <x:c r="C51" s="45" t="str">
        <x:v>CF045</x:v>
      </x:c>
      <x:c r="D51" s="45" t="str">
        <x:v>상용화·완성체 사례</x:v>
      </x:c>
      <x:c r="E51" s="45" t="str">
        <x:v>GR3 CES2026시연·165cm·55DOF</x:v>
      </x:c>
      <x:c r="F51" s="45" t="str">
        <x:v>원문 일치</x:v>
      </x:c>
      <x:c r="G51" s="45" t="str">
        <x:v>Fourier배포 보도자료는2025/8최초소개와CES2026미국공개,165cm·55DOF·대화·접촉·체스시연을 설명한다.</x:v>
      </x:c>
      <x:c r="H51" s="45" t="str">
        <x:v>https://www.prnewswire.com/news-releases/fourier-makes-ces-debut-with-gr-3-a-next-generation-care-focused-humanoid-robot-302654579.html</x:v>
      </x:c>
      <x:c r="I51" s="49" t="n">
        <x:v>46282</x:v>
      </x:c>
    </x:row>
    <x:row r="52" ht="15" hidden="0" customHeight="1">
      <x:c r="A52" s="2"/>
      <x:c r="B52" s="2"/>
      <x:c r="C52" s="45" t="str">
        <x:v>CF046</x:v>
      </x:c>
      <x:c r="D52" s="45" t="str">
        <x:v>상용화·완성체 사례</x:v>
      </x:c>
      <x:c r="E52" s="45" t="str">
        <x:v>GR3돌봄시연은임상효과·간병인완전대체증거가아니다</x:v>
      </x:c>
      <x:c r="F52" s="45" t="str">
        <x:v>공개자료 범위 한정</x:v>
      </x:c>
      <x:c r="G52" s="45" t="str">
        <x:v>원문은 케어·상호작용 제품의 설계와 행사 시연이다. 임상 연구 결과·장기 고객 경제성은 제시하지 않는다. 유상 운영 자료의 미확인은 실제 유상 운영 부재의 확정과 다르다.</x:v>
      </x:c>
      <x:c r="H52" s="45" t="str">
        <x:v>https://www.prnewswire.com/news-releases/fourier-makes-ces-debut-with-gr-3-a-next-generation-care-focused-humanoid-robot-302654579.html</x:v>
      </x:c>
      <x:c r="I52" s="49" t="n">
        <x:v>46282</x:v>
      </x:c>
    </x:row>
    <x:row r="53" ht="24" hidden="0" customHeight="1">
      <x:c r="A53" s="2"/>
      <x:c r="B53" s="2"/>
      <x:c r="C53" s="45" t="str">
        <x:v>CF047</x:v>
      </x:c>
      <x:c r="D53" s="45" t="str">
        <x:v>상용화·완성체 사례</x:v>
      </x:c>
      <x:c r="E53" s="45" t="str">
        <x:v>Oli165cm·31자유도</x:v>
      </x:c>
      <x:c r="F53" s="45" t="str">
        <x:v>제품 사양 확인</x:v>
      </x:c>
      <x:c r="G53" s="45" t="str">
        <x:v>31자유도는 공식 제품 개요에, 165cm는 별도 공식 명세표에 직접 표기된다. 제품 사양과 고객 현장 성능을 구분한다.</x:v>
      </x:c>
      <x:c r="H53" s="45" t="str">
        <x:v>https://www.limxdynamics.com/zh/products/oli
https://www.limxdynamics.com/zh/products/oli/spec</x:v>
      </x:c>
      <x:c r="I53" s="49" t="n">
        <x:v>46282</x:v>
      </x:c>
    </x:row>
    <x:row r="54" ht="15" hidden="0" customHeight="1">
      <x:c r="A54" s="2"/>
      <x:c r="B54" s="2"/>
      <x:c r="C54" s="45" t="str">
        <x:v>CF048</x:v>
      </x:c>
      <x:c r="D54" s="45" t="str">
        <x:v>상용화·완성체 사례</x:v>
      </x:c>
      <x:c r="E54" s="45" t="str">
        <x:v>7/14PreIPO근2억달러·반년4억달러조달회사발표</x:v>
      </x:c>
      <x:c r="F54" s="45" t="str">
        <x:v>원문 일치</x:v>
      </x:c>
      <x:c r="G54" s="45" t="str">
        <x:v>중문공식본문은라운드완료·근2억달러와반년누적4억달러를구분한다. PreIPO는상장완료가아니다.</x:v>
      </x:c>
      <x:c r="H54" s="45" t="str">
        <x:v>https://www.limxdynamics.com/zh/news/BK000063</x:v>
      </x:c>
      <x:c r="I54" s="49" t="n">
        <x:v>46282</x:v>
      </x:c>
    </x:row>
    <x:row r="55" ht="15" hidden="0" customHeight="1">
      <x:c r="A55" s="2"/>
      <x:c r="B55" s="2"/>
      <x:c r="C55" s="45" t="str">
        <x:v>CF049</x:v>
      </x:c>
      <x:c r="D55" s="45" t="str">
        <x:v>상용화·완성체 사례</x:v>
      </x:c>
      <x:c r="E55" s="45" t="str">
        <x:v>여러제품수천대주문·절반해외·Luna국내외납품회사발표</x:v>
      </x:c>
      <x:c r="F55" s="45" t="str">
        <x:v>원문 일치</x:v>
      </x:c>
      <x:c r="G55" s="45" t="str">
        <x:v>중문은각종제품합계주문과5월공개Luna납품을설명한다. Oli수천대매출로치환할수없다.</x:v>
      </x:c>
      <x:c r="H55" s="45" t="str">
        <x:v>https://www.limxdynamics.com/zh/news/BK000063</x:v>
      </x:c>
      <x:c r="I55" s="49" t="n">
        <x:v>46282</x:v>
      </x:c>
    </x:row>
    <x:row r="56" ht="15" hidden="0" customHeight="1">
      <x:c r="A56" s="2"/>
      <x:c r="B56" s="2"/>
      <x:c r="C56" s="45" t="str">
        <x:v>CF050</x:v>
      </x:c>
      <x:c r="D56" s="45" t="str">
        <x:v>상용화·완성체 사례</x:v>
      </x:c>
      <x:c r="E56" s="45" t="str">
        <x:v>9/8라인가동·첫IRON출고·핵심공정80%초과자동화</x:v>
      </x:c>
      <x:c r="F56" s="45" t="str">
        <x:v>원문 일치</x:v>
      </x:c>
      <x:c r="G56" s="45" t="str">
        <x:v>영문공식9/8본문에서라인제조전환과자동화율주장을확인했다. 대규모고객인도완료는아니다.</x:v>
      </x:c>
      <x:c r="H56" s="45" t="str">
        <x:v>https://www.xpeng.com/news/01a080371029a057bc8e8a02a2c6012b</x:v>
      </x:c>
      <x:c r="I56" s="49" t="n">
        <x:v>46282</x:v>
      </x:c>
    </x:row>
    <x:row r="57" ht="24" hidden="0" customHeight="1">
      <x:c r="A57" s="2"/>
      <x:c r="B57" s="2"/>
      <x:c r="C57" s="45" t="str">
        <x:v>CF051</x:v>
      </x:c>
      <x:c r="D57" s="45" t="str">
        <x:v>상용화·완성체 사례</x:v>
      </x:c>
      <x:c r="E57" s="45" t="str">
        <x:v>2026말양산·2027시장출시및인도계획</x:v>
      </x:c>
      <x:c r="F57" s="45" t="str">
        <x:v>원문 일치</x:v>
      </x:c>
      <x:c r="G57" s="45" t="str">
        <x:v>두원문모두내부매장·캠퍼스초기적용과2027국내외인도계획을구분한다.</x:v>
      </x:c>
      <x:c r="H57" s="45" t="str">
        <x:v>https://www.xpeng.com/news/01a080371029a057bc8e8a02a2c6012b
https://www.xpeng.com/news/01a03797fccda01e0de68a02a256006a</x:v>
      </x:c>
      <x:c r="I57" s="49" t="n">
        <x:v>46282</x:v>
      </x:c>
    </x:row>
    <x:row r="58" ht="24" hidden="0" customHeight="1">
      <x:c r="A58" s="2"/>
      <x:c r="B58" s="2"/>
      <x:c r="C58" s="45" t="str">
        <x:v>CF052</x:v>
      </x:c>
      <x:c r="D58" s="45" t="str">
        <x:v>상용화·완성체 사례</x:v>
      </x:c>
      <x:c r="E58" s="45" t="str">
        <x:v>IRON76DOF·손각21DOF·Turing칩3개</x:v>
      </x:c>
      <x:c r="F58" s="45" t="str">
        <x:v>원문 일치</x:v>
      </x:c>
      <x:c r="G58" s="45" t="str">
        <x:v>제조사명세에세숫자가명시되며2250TOPS도함께제시한다. 과제성공률또는원가의직접근거가아니다.</x:v>
      </x:c>
      <x:c r="H58" s="45" t="str">
        <x:v>https://www.xpeng.com/news/01a080371029a057bc8e8a02a2c6012b
https://www.xpeng.com/news/01a03797fccda01e0de68a02a256006a</x:v>
      </x:c>
      <x:c r="I58" s="49" t="n">
        <x:v>46282</x:v>
      </x:c>
    </x:row>
    <x:row r="59" ht="24" hidden="0" customHeight="1">
      <x:c r="A59" s="2"/>
      <x:c r="B59" s="2"/>
      <x:c r="C59" s="45" t="str">
        <x:v>CF053</x:v>
      </x:c>
      <x:c r="D59" s="45" t="str">
        <x:v>상용화·완성체 사례</x:v>
      </x:c>
      <x:c r="E59" s="45" t="str">
        <x:v>8/24로봇자금9억달러초과·투자후가치63억달러초과·종결후지배권유지</x:v>
      </x:c>
      <x:c r="F59" s="45" t="str">
        <x:v>원문 일치</x:v>
      </x:c>
      <x:c r="G59" s="45" t="str">
        <x:v>웹 게시일 2026-08-25와 본문 사건일 08-24가 다르다. share purchase agreements 체결과 upon closing 지배·연결 유지 표현이 확인된다. 입금 완료나 100% 주주 귀속가치로 해석하지 않는다.</x:v>
      </x:c>
      <x:c r="H59" s="45" t="str">
        <x:v>https://www.xpeng.com/news/01a03797fccda01e0de68a02a256006a</x:v>
      </x:c>
      <x:c r="I59" s="49" t="n">
        <x:v>46282</x:v>
      </x:c>
    </x:row>
    <x:row r="60" ht="24" hidden="0" customHeight="1">
      <x:c r="A60" s="2"/>
      <x:c r="B60" s="2"/>
      <x:c r="C60" s="45" t="str">
        <x:v>CF054</x:v>
      </x:c>
      <x:c r="D60" s="45" t="str">
        <x:v>상용화·완성체 사례</x:v>
      </x:c>
      <x:c r="E60" s="45" t="str">
        <x:v>상장모회사XPEV/9868과로봇사업지분은구분</x:v>
      </x:c>
      <x:c r="F60" s="45" t="str">
        <x:v>원문 일치</x:v>
      </x:c>
      <x:c r="G60" s="45" t="str">
        <x:v>모회사NYSE·HKEX코드는공식보도자료에서확인하며로봇사업의별도자금조달은다른경제적범위다.</x:v>
      </x:c>
      <x:c r="H60" s="45" t="str">
        <x:v>https://www.xpeng.com/news/01a080371029a057bc8e8a02a2c6012b
https://www.xpeng.com/news/01a03797fccda01e0de68a02a256006a</x:v>
      </x:c>
      <x:c r="I60" s="49" t="n">
        <x:v>46282</x:v>
      </x:c>
    </x:row>
    <x:row r="61" ht="72" hidden="0" customHeight="1">
      <x:c r="A61" s="2"/>
      <x:c r="B61" s="2"/>
      <x:c r="C61" s="45" t="str">
        <x:v>CF055</x:v>
      </x:c>
      <x:c r="D61" s="45" t="str">
        <x:v>상용화·완성체 사례</x:v>
      </x:c>
      <x:c r="E61" s="45" t="str">
        <x:v>기업별 상장 상태와 검토 범위</x:v>
      </x:c>
      <x:c r="F61" s="45" t="str">
        <x:v>검증 범위 한정</x:v>
      </x:c>
      <x:c r="G61" s="45" t="str">
        <x:v>상장 상태 미검증과 비상장 관찰군은 별개다. 핵심 완성체 14개 사례의 검토가 기업 목록 전체의 모든 속성·상장 상태 확인을 뜻하지 않는다.</x:v>
      </x:c>
      <x:c r="H61" s="45" t="str">
        <x:v>https://www.agilityrobotics.com/content/agility-robotics-to-go-public-through-merger-with-churchill-capital-corp-xi
https://www.unitree.com/disclosure/listedinfo/announcement/%E5%AE%87%E6%A0%91%E7%A7%91%E6%8A%80%20%E5%85%B3%E4%BA%8E%E5%8F%98%E6%9B%B4%E6%B3%A8%E5%86%8C%E8%B5%84%E6%9C%AC%E3%80%81%E5%85%AC%E5%8F%B8%E7%B1%BB%E5%9E%8B%E5%8F%8A%E4%BF%AE%E8%AE%A2%E3%80%8A%E5%85%AC%E5%8F%B8%E7%AB%A0%E7%A8%8B%E3%80%8B%E5%B9%B6%E5%8A%9E%E7%90%86%E5%B7%A5%E5%95%86%E5%8F%98%E6%9B%B4%E7%99%BB%E8%AE%B0%E7%9A%84%E5%85%AC%E5%91%8A.pdf
https://www.figure.ai/news/notice-regarding-unauthorized-attempts-to-sell-figure-stock</x:v>
      </x:c>
      <x:c r="I61" s="49" t="n">
        <x:v>46282</x:v>
      </x:c>
    </x:row>
    <x:row r="62" ht="15" hidden="0" customHeight="1">
      <x:c r="A62" s="2"/>
      <x:c r="B62" s="2"/>
      <x:c r="C62" s="45" t="str">
        <x:v>FIN001</x:v>
      </x:c>
      <x:c r="D62" s="45" t="str">
        <x:v>상장·재무·주가</x:v>
      </x:c>
      <x:c r="E62" s="45" t="str">
        <x:v>Q2 매출 28,236백만 USD·영업이익 398백만 USD</x:v>
      </x:c>
      <x:c r="F62" s="45" t="str">
        <x:v>일치</x:v>
      </x:c>
      <x:c r="G62" s="45" t="str">
        <x:v>2026 Q2 공식 원문 확인; 해당 분기 손익표와 일치 | PDF 27쪽</x:v>
      </x:c>
      <x:c r="H62" s="45" t="str">
        <x:v>https://assets-ir.tesla.com/tesla-contents/IR/TSLA-Q2-2026-Update.pdf</x:v>
      </x:c>
      <x:c r="I62" s="49" t="n">
        <x:v>46282</x:v>
      </x:c>
    </x:row>
    <x:row r="63" ht="15" hidden="0" customHeight="1">
      <x:c r="A63" s="2"/>
      <x:c r="B63" s="2"/>
      <x:c r="C63" s="45" t="str">
        <x:v>FIN002</x:v>
      </x:c>
      <x:c r="D63" s="45" t="str">
        <x:v>상장·재무·주가</x:v>
      </x:c>
      <x:c r="E63" s="45" t="str">
        <x:v>현금·현금성자산·단기투자 43,524백만 USD</x:v>
      </x:c>
      <x:c r="F63" s="45" t="str">
        <x:v>일치</x:v>
      </x:c>
      <x:c r="G63" s="45" t="str">
        <x:v>6월 말 통합 현금 항목. 현금만의 수치가 아니다. | PDF 28쪽</x:v>
      </x:c>
      <x:c r="H63" s="45" t="str">
        <x:v>https://assets-ir.tesla.com/tesla-contents/IR/TSLA-Q2-2026-Update.pdf</x:v>
      </x:c>
      <x:c r="I63" s="49" t="n">
        <x:v>46282</x:v>
      </x:c>
    </x:row>
    <x:row r="64" ht="15" hidden="0" customHeight="1">
      <x:c r="A64" s="2"/>
      <x:c r="B64" s="2"/>
      <x:c r="C64" s="45" t="str">
        <x:v>FIN003</x:v>
      </x:c>
      <x:c r="D64" s="45" t="str">
        <x:v>상장·재무·주가</x:v>
      </x:c>
      <x:c r="E64" s="45" t="str">
        <x:v>차입금과 금융리스 9,342백만 USD</x:v>
      </x:c>
      <x:c r="F64" s="45" t="str">
        <x:v>일치</x:v>
      </x:c>
      <x:c r="G64" s="45" t="str">
        <x:v>유동 1,418 + 비유동 7,924 = 9,342 | PDF 28쪽</x:v>
      </x:c>
      <x:c r="H64" s="45" t="str">
        <x:v>https://assets-ir.tesla.com/tesla-contents/IR/TSLA-Q2-2026-Update.pdf</x:v>
      </x:c>
      <x:c r="I64" s="49" t="n">
        <x:v>46282</x:v>
      </x:c>
    </x:row>
    <x:row r="65" ht="15" hidden="0" customHeight="1">
      <x:c r="A65" s="2"/>
      <x:c r="B65" s="2"/>
      <x:c r="C65" s="45" t="str">
        <x:v>FIN004</x:v>
      </x:c>
      <x:c r="D65" s="45" t="str">
        <x:v>상장·재무·주가</x:v>
      </x:c>
      <x:c r="E65" s="45" t="str">
        <x:v>Q2 CFO 4,697·capex 5,789·FCF -1,092백만 USD</x:v>
      </x:c>
      <x:c r="F65" s="45" t="str">
        <x:v>일치</x:v>
      </x:c>
      <x:c r="G65" s="45" t="str">
        <x:v>4,697 - 5,789 = -1,092. 회사 전체 분기 현금흐름. | PDF 4·29쪽</x:v>
      </x:c>
      <x:c r="H65" s="45" t="str">
        <x:v>https://assets-ir.tesla.com/tesla-contents/IR/TSLA-Q2-2026-Update.pdf</x:v>
      </x:c>
      <x:c r="I65" s="49" t="n">
        <x:v>46282</x:v>
      </x:c>
    </x:row>
    <x:row r="66" ht="15" hidden="0" customHeight="1">
      <x:c r="A66" s="2"/>
      <x:c r="B66" s="2"/>
      <x:c r="C66" s="45" t="str">
        <x:v>FIN005</x:v>
      </x:c>
      <x:c r="D66" s="45" t="str">
        <x:v>상장·재무·주가</x:v>
      </x:c>
      <x:c r="E66" s="45" t="str">
        <x:v>기본/희석 평균주식 3,237/3,540백만 주</x:v>
      </x:c>
      <x:c r="F66" s="45" t="str">
        <x:v>일치</x:v>
      </x:c>
      <x:c r="G66" s="45" t="str">
        <x:v>Q2 EPS 가중평균 주식이다. 9월 현재 발행주식 수로 사용하면 안 된다. | PDF 27쪽</x:v>
      </x:c>
      <x:c r="H66" s="45" t="str">
        <x:v>https://assets-ir.tesla.com/tesla-contents/IR/TSLA-Q2-2026-Update.pdf</x:v>
      </x:c>
      <x:c r="I66" s="49" t="n">
        <x:v>46282</x:v>
      </x:c>
    </x:row>
    <x:row r="67" ht="15" hidden="0" customHeight="1">
      <x:c r="A67" s="2"/>
      <x:c r="B67" s="2"/>
      <x:c r="C67" s="45" t="str">
        <x:v>FIN006</x:v>
      </x:c>
      <x:c r="D67" s="45" t="str">
        <x:v>상장·재무·주가</x:v>
      </x:c>
      <x:c r="E67" s="45" t="str">
        <x:v>9/16 종가 358.08 USD·현재 시총 확정 보류</x:v>
      </x:c>
      <x:c r="F67" s="45" t="str">
        <x:v>일치</x:v>
      </x:c>
      <x:c r="G67" s="45" t="str">
        <x:v>Google 종가 358.08. 표시 시총 1.12T와 주식 3.95B의 곱이 불일치하여 보류가 적절하다. | Google Sep 16 16:00:01 GMT-4</x:v>
      </x:c>
      <x:c r="H67" s="45" t="str">
        <x:v>https://www.google.com/finance/quote/TSLA:NASDAQ</x:v>
      </x:c>
      <x:c r="I67" s="49" t="n">
        <x:v>46282</x:v>
      </x:c>
    </x:row>
    <x:row r="68" ht="15" hidden="0" customHeight="1">
      <x:c r="A68" s="2"/>
      <x:c r="B68" s="2"/>
      <x:c r="C68" s="45" t="str">
        <x:v>FIN007</x:v>
      </x:c>
      <x:c r="D68" s="45" t="str">
        <x:v>상장·재무·주가</x:v>
      </x:c>
      <x:c r="E68" s="45" t="str">
        <x:v>Optimus 별도 매출·이익·capex 미분리</x:v>
      </x:c>
      <x:c r="F68" s="45" t="str">
        <x:v>공개범위일치</x:v>
      </x:c>
      <x:c r="G68" s="45" t="str">
        <x:v>이번에 검토한 분기 발표에서 별도 미공개로 범위 한정 | 이번 분기 발표의 사업·현금흐름 표에 Optimus 별도 항목 없음. 모든 공시를 망라한 부재 증명은 아니다. | PDF 27~29쪽</x:v>
      </x:c>
      <x:c r="H68" s="45" t="str">
        <x:v>https://assets-ir.tesla.com/tesla-contents/IR/TSLA-Q2-2026-Update.pdf</x:v>
      </x:c>
      <x:c r="I68" s="49" t="n">
        <x:v>46282</x:v>
      </x:c>
    </x:row>
    <x:row r="69" ht="15" hidden="0" customHeight="1">
      <x:c r="A69" s="2"/>
      <x:c r="B69" s="2"/>
      <x:c r="C69" s="45" t="str">
        <x:v>FIN008</x:v>
      </x:c>
      <x:c r="D69" s="45" t="str">
        <x:v>상장·재무·주가</x:v>
      </x:c>
      <x:c r="E69" s="45" t="str">
        <x:v>FY2027 Q2 매출 96,221·GAAP 영업이익 63,734백만 USD</x:v>
      </x:c>
      <x:c r="F69" s="45" t="str">
        <x:v>일치</x:v>
      </x:c>
      <x:c r="G69" s="45" t="str">
        <x:v>2026-07-26 종료 3개월. 회계연도 2027은 달력 2027년이 아니다. | 실적 요약·손익표</x:v>
      </x:c>
      <x:c r="H69" s="45" t="str">
        <x:v>https://nvidianews.nvidia.com/news/nvidia-announces-financial-results-for-second-quarter-fiscal-2027</x:v>
      </x:c>
      <x:c r="I69" s="49" t="n">
        <x:v>46282</x:v>
      </x:c>
    </x:row>
    <x:row r="70" ht="15" hidden="0" customHeight="1">
      <x:c r="A70" s="2"/>
      <x:c r="B70" s="2"/>
      <x:c r="C70" s="45" t="str">
        <x:v>FIN009</x:v>
      </x:c>
      <x:c r="D70" s="45" t="str">
        <x:v>상장·재무·주가</x:v>
      </x:c>
      <x:c r="E70" s="45" t="str">
        <x:v>현금 22,443·시장성 채무증권 34,143백만 USD</x:v>
      </x:c>
      <x:c r="F70" s="45" t="str">
        <x:v>일치</x:v>
      </x:c>
      <x:c r="G70" s="45" t="str">
        <x:v>현금성자산과 채무증권이 별도다. 시장성 지분증권 42,783도 현금과 동일하지 않다. | 재무상태표</x:v>
      </x:c>
      <x:c r="H70" s="45" t="str">
        <x:v>https://nvidianews.nvidia.com/news/nvidia-announces-financial-results-for-second-quarter-fiscal-2027</x:v>
      </x:c>
      <x:c r="I70" s="49" t="n">
        <x:v>46282</x:v>
      </x:c>
    </x:row>
    <x:row r="71" ht="15" hidden="0" customHeight="1">
      <x:c r="A71" s="2"/>
      <x:c r="B71" s="2"/>
      <x:c r="C71" s="45" t="str">
        <x:v>FIN010</x:v>
      </x:c>
      <x:c r="D71" s="45" t="str">
        <x:v>상장·재무·주가</x:v>
      </x:c>
      <x:c r="E71" s="45" t="str">
        <x:v>부채 33,366백만 USD</x:v>
      </x:c>
      <x:c r="F71" s="45" t="str">
        <x:v>일치</x:v>
      </x:c>
      <x:c r="G71" s="45" t="str">
        <x:v>단기 1,000 + 장기 32,366. 운영리스 제외. | 재무상태표</x:v>
      </x:c>
      <x:c r="H71" s="45" t="str">
        <x:v>https://nvidianews.nvidia.com/news/nvidia-announces-financial-results-for-second-quarter-fiscal-2027</x:v>
      </x:c>
      <x:c r="I71" s="49" t="n">
        <x:v>46282</x:v>
      </x:c>
    </x:row>
    <x:row r="72" ht="15" hidden="0" customHeight="1">
      <x:c r="A72" s="2"/>
      <x:c r="B72" s="2"/>
      <x:c r="C72" s="45" t="str">
        <x:v>FIN011</x:v>
      </x:c>
      <x:c r="D72" s="45" t="str">
        <x:v>상장·재무·주가</x:v>
      </x:c>
      <x:c r="E72" s="45" t="str">
        <x:v>Q2 FCF 21,341백만 USD</x:v>
      </x:c>
      <x:c r="F72" s="45" t="str">
        <x:v>일치</x:v>
      </x:c>
      <x:c r="G72" s="45" t="str">
        <x:v>CFO 24,077 - 설비·무형자산 구매 2,677 - 원금 지급 59 | FCF 조정표</x:v>
      </x:c>
      <x:c r="H72" s="45" t="str">
        <x:v>https://nvidianews.nvidia.com/news/nvidia-announces-financial-results-for-second-quarter-fiscal-2027</x:v>
      </x:c>
      <x:c r="I72" s="49" t="n">
        <x:v>46282</x:v>
      </x:c>
    </x:row>
    <x:row r="73" ht="15" hidden="0" customHeight="1">
      <x:c r="A73" s="2"/>
      <x:c r="B73" s="2"/>
      <x:c r="C73" s="45" t="str">
        <x:v>FIN012</x:v>
      </x:c>
      <x:c r="D73" s="45" t="str">
        <x:v>상장·재무·주가</x:v>
      </x:c>
      <x:c r="E73" s="45" t="str">
        <x:v>9/16 종가 213.90 USD·시총 약 5.15조 USD</x:v>
      </x:c>
      <x:c r="F73" s="45" t="str">
        <x:v>제공값일치</x:v>
      </x:c>
      <x:c r="G73" s="45" t="str">
        <x:v>Google 종가 및 반올림 시총과 일치. 거래소 원시 체결자료 검증은 아니다. | Google Sep 16 16:00:01 GMT-4</x:v>
      </x:c>
      <x:c r="H73" s="45" t="str">
        <x:v>https://www.google.com/finance/quote/NVDA:NASDAQ</x:v>
      </x:c>
      <x:c r="I73" s="49" t="n">
        <x:v>46282</x:v>
      </x:c>
    </x:row>
    <x:row r="74" ht="15" hidden="0" customHeight="1">
      <x:c r="A74" s="2"/>
      <x:c r="B74" s="2"/>
      <x:c r="C74" s="45" t="str">
        <x:v>FIN013</x:v>
      </x:c>
      <x:c r="D74" s="45" t="str">
        <x:v>상장·재무·주가</x:v>
      </x:c>
      <x:c r="E74" s="45" t="str">
        <x:v>H1 매출 1,269.1·영업손실 279.093·순손실 338.827백만 CNY</x:v>
      </x:c>
      <x:c r="F74" s="45" t="str">
        <x:v>반올림일치</x:v>
      </x:c>
      <x:c r="G74" s="45" t="str">
        <x:v>공식 원문 매출은 1,269.130백만 CNY이며 1,269.1은 소수 첫째 자리 반올림 값이다. | PDF 2·33쪽</x:v>
      </x:c>
      <x:c r="H74" s="45" t="str">
        <x:v>https://owebsite-cdn.ubtrobot.com/resources/file/2026/09/02/844614814105669.pdf</x:v>
      </x:c>
      <x:c r="I74" s="49" t="n">
        <x:v>46282</x:v>
      </x:c>
    </x:row>
    <x:row r="75" ht="15" hidden="0" customHeight="1">
      <x:c r="A75" s="2"/>
      <x:c r="B75" s="2"/>
      <x:c r="C75" s="45" t="str">
        <x:v>FIN014</x:v>
      </x:c>
      <x:c r="D75" s="45" t="str">
        <x:v>상장·재무·주가</x:v>
      </x:c>
      <x:c r="E75" s="45" t="str">
        <x:v>휴머노이드 관련 제품·서비스 매출 590.3백만 CNY·46.5%</x:v>
      </x:c>
      <x:c r="F75" s="45" t="str">
        <x:v>범위일치</x:v>
      </x:c>
      <x:c r="G75" s="45" t="str">
        <x:v>정밀액 590.299; 바퀴형 Cruzr Y1 포함. 이족보행형 하드웨어 매출로 축소 해석할 수 없다. | PDF 3·12쪽</x:v>
      </x:c>
      <x:c r="H75" s="45" t="str">
        <x:v>https://owebsite-cdn.ubtrobot.com/resources/file/2026/09/02/844614814105669.pdf</x:v>
      </x:c>
      <x:c r="I75" s="49" t="n">
        <x:v>46282</x:v>
      </x:c>
    </x:row>
    <x:row r="76" ht="15" hidden="0" customHeight="1">
      <x:c r="A76" s="2"/>
      <x:c r="B76" s="2"/>
      <x:c r="C76" s="45" t="str">
        <x:v>FIN015</x:v>
      </x:c>
      <x:c r="D76" s="45" t="str">
        <x:v>상장·재무·주가</x:v>
      </x:c>
      <x:c r="E76" s="45" t="str">
        <x:v>해당 범주 921대 판매</x:v>
      </x:c>
      <x:c r="F76" s="45" t="str">
        <x:v>일치</x:v>
      </x:c>
      <x:c r="G76" s="45" t="str">
        <x:v>공식 반기보고서 판매량이다. 서비스 포함 범주 매출을 나눈 값은 순수 기체 ASP가 아니다. | PDF 12쪽</x:v>
      </x:c>
      <x:c r="H76" s="45" t="str">
        <x:v>https://owebsite-cdn.ubtrobot.com/resources/file/2026/09/02/844614814105669.pdf</x:v>
      </x:c>
      <x:c r="I76" s="49" t="n">
        <x:v>46282</x:v>
      </x:c>
    </x:row>
    <x:row r="77" ht="15" hidden="0" customHeight="1">
      <x:c r="A77" s="2"/>
      <x:c r="B77" s="2"/>
      <x:c r="C77" s="45" t="str">
        <x:v>FIN016</x:v>
      </x:c>
      <x:c r="D77" s="45" t="str">
        <x:v>상장·재무·주가</x:v>
      </x:c>
      <x:c r="E77" s="45" t="str">
        <x:v>현금성자산 2,325.6·차입금 997.3백만 CNY</x:v>
      </x:c>
      <x:c r="F77" s="45" t="str">
        <x:v>일치</x:v>
      </x:c>
      <x:c r="G77" s="45" t="str">
        <x:v>유동성 설명과 일치. 은행·수중현금 2,381.213과 별도. 차입 정밀합은 383.256+486.655+127.416=997.327. | PDF 25·26·35·43쪽</x:v>
      </x:c>
      <x:c r="H77" s="45" t="str">
        <x:v>https://owebsite-cdn.ubtrobot.com/resources/file/2026/09/02/844614814105669.pdf</x:v>
      </x:c>
      <x:c r="I77" s="49" t="n">
        <x:v>46282</x:v>
      </x:c>
    </x:row>
    <x:row r="78" ht="15" hidden="0" customHeight="1">
      <x:c r="A78" s="2"/>
      <x:c r="B78" s="2"/>
      <x:c r="C78" s="45" t="str">
        <x:v>FIN017</x:v>
      </x:c>
      <x:c r="D78" s="45" t="str">
        <x:v>상장·재무·주가</x:v>
      </x:c>
      <x:c r="E78" s="45" t="str">
        <x:v>발행주식 503,401,373주; 취득 Fenglong 지분 43.01%</x:v>
      </x:c>
      <x:c r="F78" s="45" t="str">
        <x:v>일치</x:v>
      </x:c>
      <x:c r="G78" s="45" t="str">
        <x:v>6월 말 발행주식 및 3~4월 인수 29.99%+13.02% 확인 | PDF 37쪽</x:v>
      </x:c>
      <x:c r="H78" s="45" t="str">
        <x:v>https://owebsite-cdn.ubtrobot.com/resources/file/2026/09/02/844614814105669.pdf</x:v>
      </x:c>
      <x:c r="I78" s="49" t="n">
        <x:v>46282</x:v>
      </x:c>
    </x:row>
    <x:row r="79" ht="15" hidden="0" customHeight="1">
      <x:c r="A79" s="2"/>
      <x:c r="B79" s="2"/>
      <x:c r="C79" s="45" t="str">
        <x:v>FIN018</x:v>
      </x:c>
      <x:c r="D79" s="45" t="str">
        <x:v>상장·재무·주가</x:v>
      </x:c>
      <x:c r="E79" s="45" t="str">
        <x:v>Fenglong 현금취득 원가 약 1,665.3백만 CNY</x:v>
      </x:c>
      <x:c r="F79" s="45" t="str">
        <x:v>일치</x:v>
      </x:c>
      <x:c r="G79" s="45" t="str">
        <x:v>정밀액 1,665.324. 현금 감소 전체를 영업 현금소진으로 볼 수 없다. | PDF 44쪽</x:v>
      </x:c>
      <x:c r="H79" s="45" t="str">
        <x:v>https://owebsite-cdn.ubtrobot.com/resources/file/2026/09/02/844614814105669.pdf</x:v>
      </x:c>
      <x:c r="I79" s="49" t="n">
        <x:v>46282</x:v>
      </x:c>
    </x:row>
    <x:row r="80" ht="24" hidden="0" customHeight="1">
      <x:c r="A80" s="2"/>
      <x:c r="B80" s="2"/>
      <x:c r="C80" s="45" t="str">
        <x:v>FIN019</x:v>
      </x:c>
      <x:c r="D80" s="45" t="str">
        <x:v>상장·재무·주가</x:v>
      </x:c>
      <x:c r="E80" s="45" t="str">
        <x:v>9/16 종가 77.40 HKD</x:v>
      </x:c>
      <x:c r="F80" s="45" t="str">
        <x:v>간접교차확인</x:v>
      </x:c>
      <x:c r="G80" s="45" t="str">
        <x:v>Yahoo 원문 접근이 실패했다. Google 2026-09-17 11:44:17 GMT+8의 가격 78.25에서 전일대비 +0.85를 빼면 77.40이다. 전일 종가의 간접 교차 확인이며 거래소 원시 종가를 직접 검증한 것은 아니다.</x:v>
      </x:c>
      <x:c r="H80" s="45" t="str">
        <x:v>https://www.google.com/finance/quote/9880:HKG</x:v>
      </x:c>
      <x:c r="I80" s="49" t="n">
        <x:v>46282</x:v>
      </x:c>
    </x:row>
    <x:row r="81" ht="15" hidden="0" customHeight="1">
      <x:c r="A81" s="2"/>
      <x:c r="B81" s="2"/>
      <x:c r="C81" s="45" t="str">
        <x:v>FIN020</x:v>
      </x:c>
      <x:c r="D81" s="45" t="str">
        <x:v>상장·재무·주가</x:v>
      </x:c>
      <x:c r="E81" s="45" t="str">
        <x:v>참고 지분가치 38,963.266백만 HKD</x:v>
      </x:c>
      <x:c r="F81" s="45" t="str">
        <x:v>계산일치</x:v>
      </x:c>
      <x:c r="G81" s="45" t="str">
        <x:v>503,401,373 × 77.4 ÷ 1,000,000. 6월 말 주식수이며 현재 시총이 아니다. | 주식수 공시 및 시세 가정</x:v>
      </x:c>
      <x:c r="H81" s="45" t="str">
        <x:v>https://owebsite-cdn.ubtrobot.com/resources/file/2026/09/02/844614814105669.pdf</x:v>
      </x:c>
      <x:c r="I81" s="49" t="n">
        <x:v>46282</x:v>
      </x:c>
    </x:row>
    <x:row r="82" ht="15" hidden="0" customHeight="1">
      <x:c r="A82" s="2"/>
      <x:c r="B82" s="2"/>
      <x:c r="C82" s="45" t="str">
        <x:v>FIN021</x:v>
      </x:c>
      <x:c r="D82" s="45" t="str">
        <x:v>상장·재무·주가</x:v>
      </x:c>
      <x:c r="E82" s="45" t="str">
        <x:v>688836·상하이 STAR·2026-08-19 상장</x:v>
      </x:c>
      <x:c r="F82" s="45" t="str">
        <x:v>일치</x:v>
      </x:c>
      <x:c r="G82" s="45" t="str">
        <x:v>회사 9/3 자본변경 공시 첫 쪽에 코드·거래소·상장일 직접 명시 | PDF 1쪽</x:v>
      </x:c>
      <x:c r="H82" s="45" t="str">
        <x:v>https://www.unitree.com/disclosure/listedinfo/announcement/宇树科技 关于变更注册资本、公司类型及修订《公司章程》并办理工商变更登记的公告.pdf</x:v>
      </x:c>
      <x:c r="I82" s="49" t="n">
        <x:v>46282</x:v>
      </x:c>
    </x:row>
    <x:row r="83" ht="15" hidden="0" customHeight="1">
      <x:c r="A83" s="2"/>
      <x:c r="B83" s="2"/>
      <x:c r="C83" s="45" t="str">
        <x:v>FIN022</x:v>
      </x:c>
      <x:c r="D83" s="45" t="str">
        <x:v>상장·재무·주가</x:v>
      </x:c>
      <x:c r="E83" s="45" t="str">
        <x:v>IPO 신주 40,446,434·총발행 404,464,340주</x:v>
      </x:c>
      <x:c r="F83" s="45" t="str">
        <x:v>일치</x:v>
      </x:c>
      <x:c r="G83" s="45" t="str">
        <x:v>중국 원문 万股 단위를 10,000배 변환; 4,044.6434만/40,446.4340만 | PDF 1~2쪽</x:v>
      </x:c>
      <x:c r="H83" s="45" t="str">
        <x:v>https://www.unitree.com/disclosure/listedinfo/announcement/宇树科技 关于变更注册资本、公司类型及修订《公司章程》并办理工商变更登记的公告.pdf</x:v>
      </x:c>
      <x:c r="I83" s="49" t="n">
        <x:v>46282</x:v>
      </x:c>
    </x:row>
    <x:row r="84" ht="24" hidden="0" customHeight="1">
      <x:c r="A84" s="2"/>
      <x:c r="B84" s="2"/>
      <x:c r="C84" s="45" t="str">
        <x:v>FIN023</x:v>
      </x:c>
      <x:c r="D84" s="45" t="str">
        <x:v>상장·재무·주가</x:v>
      </x:c>
      <x:c r="E84" s="45" t="str">
        <x:v>9/16 종가 474.28 CNY</x:v>
      </x:c>
      <x:c r="F84" s="45" t="str">
        <x:v>간접교차확인</x:v>
      </x:c>
      <x:c r="G84" s="45" t="str">
        <x:v>Futu 원문 접근이 시간초과됐다. Google 2026-09-17 11:30:01 GMT+8의 500.90에서 전일대비 26.62를 빼면 474.28이다. 전일 종가의 간접 교차 확인이며 거래소 원시 종가를 직접 검증한 것은 아니다.</x:v>
      </x:c>
      <x:c r="H84" s="45" t="str">
        <x:v>https://www.google.com/finance/quote/688836:SHA</x:v>
      </x:c>
      <x:c r="I84" s="49" t="n">
        <x:v>46282</x:v>
      </x:c>
    </x:row>
    <x:row r="85" ht="15" hidden="0" customHeight="1">
      <x:c r="A85" s="2"/>
      <x:c r="B85" s="2"/>
      <x:c r="C85" s="45" t="str">
        <x:v>FIN024</x:v>
      </x:c>
      <x:c r="D85" s="45" t="str">
        <x:v>상장·재무·주가</x:v>
      </x:c>
      <x:c r="E85" s="45" t="str">
        <x:v>참고 지분가치 191,829.347백만 CNY</x:v>
      </x:c>
      <x:c r="F85" s="45" t="str">
        <x:v>계산일치</x:v>
      </x:c>
      <x:c r="G85" s="45" t="str">
        <x:v>404,464,340 × 474.28 ÷ 1,000,000. IPO 총발행 주식 기준 참고값. | 공시 주식수·가격 가정</x:v>
      </x:c>
      <x:c r="H85" s="45" t="str">
        <x:v>https://www.unitree.com/disclosure/listedinfo/announcement/宇树科技 关于变更注册资本、公司类型及修订《公司章程》并办理工商变更登记的公告.pdf</x:v>
      </x:c>
      <x:c r="I85" s="49" t="n">
        <x:v>46282</x:v>
      </x:c>
    </x:row>
    <x:row r="86" ht="15" hidden="0" customHeight="1">
      <x:c r="A86" s="2"/>
      <x:c r="B86" s="2"/>
      <x:c r="C86" s="45" t="str">
        <x:v>FIN025</x:v>
      </x:c>
      <x:c r="D86" s="45" t="str">
        <x:v>상장·재무·주가</x:v>
      </x:c>
      <x:c r="E86" s="45" t="str">
        <x:v>최근 손익·현금·차입금 null</x:v>
      </x:c>
      <x:c r="F86" s="45" t="str">
        <x:v>미확인</x:v>
      </x:c>
      <x:c r="G86" s="45" t="str">
        <x:v>최신 재무 공시 원문 수치를 확보하지 못했다. null은 미확인이며 공시 부재나 0을 뜻하지 않는다. | 공식 IR</x:v>
      </x:c>
      <x:c r="H86" s="45" t="str">
        <x:v>https://www.unitree.com/investor/</x:v>
      </x:c>
      <x:c r="I86" s="49" t="n">
        <x:v>46282</x:v>
      </x:c>
    </x:row>
    <x:row r="87" ht="15" hidden="0" customHeight="1">
      <x:c r="A87" s="2"/>
      <x:c r="B87" s="2"/>
      <x:c r="C87" s="45" t="str">
        <x:v>FIN026</x:v>
      </x:c>
      <x:c r="D87" s="45" t="str">
        <x:v>상장·재무·주가</x:v>
      </x:c>
      <x:c r="E87" s="45" t="str">
        <x:v>SHA0·Frankfurt Prime Standard·944,884,641주</x:v>
      </x:c>
      <x:c r="F87" s="45" t="str">
        <x:v>일치</x:v>
      </x:c>
      <x:c r="G87" s="45" t="str">
        <x:v>공식 주식 기본정보의 코드·시장·주식수와 일치 | 공식 Basic Data</x:v>
      </x:c>
      <x:c r="H87" s="45" t="str">
        <x:v>https://www.schaeffler.com/en/investor-relations/share/basic-data/</x:v>
      </x:c>
      <x:c r="I87" s="49" t="n">
        <x:v>46282</x:v>
      </x:c>
    </x:row>
    <x:row r="88" ht="24" hidden="0" customHeight="1">
      <x:c r="A88" s="2"/>
      <x:c r="B88" s="2"/>
      <x:c r="C88" s="45" t="str">
        <x:v>FIN027</x:v>
      </x:c>
      <x:c r="D88" s="45" t="str">
        <x:v>상장·재무·주가</x:v>
      </x:c>
      <x:c r="E88" s="45" t="str">
        <x:v>H1 매출 11,667·보고 EBIT 483·조정 EBIT 549백만 EUR</x:v>
      </x:c>
      <x:c r="F88" s="45" t="str">
        <x:v>일치</x:v>
      </x:c>
      <x:c r="G88" s="45" t="str">
        <x:v>반기 수치이며 보고/특별항목 조정 후 EBIT 구분이 맞다. | PDF 2쪽</x:v>
      </x:c>
      <x:c r="H88" s="45" t="str">
        <x:v>https://www.schaeffler.com/remotemedien/media/_shared_media_rwd/08_investor_relations/reports/2026_h1_schaeffler_interim_financial_report_en_14cvjk.pdf</x:v>
      </x:c>
      <x:c r="I88" s="49" t="n">
        <x:v>46282</x:v>
      </x:c>
    </x:row>
    <x:row r="89" ht="24" hidden="0" customHeight="1">
      <x:c r="A89" s="2"/>
      <x:c r="B89" s="2"/>
      <x:c r="C89" s="45" t="str">
        <x:v>FIN028</x:v>
      </x:c>
      <x:c r="D89" s="45" t="str">
        <x:v>상장·재무·주가</x:v>
      </x:c>
      <x:c r="E89" s="45" t="str">
        <x:v>현금 2,517·금융부채 8,063·순금융부채 5,545백만 EUR</x:v>
      </x:c>
      <x:c r="F89" s="45" t="str">
        <x:v>일치</x:v>
      </x:c>
      <x:c r="G89" s="45" t="str">
        <x:v>반올림 때문에 표시 금융부채-현금은 5,546이나 회사 순부채는 5,545. 제한 현금 336 포함. | PDF 17~18·33쪽</x:v>
      </x:c>
      <x:c r="H89" s="45" t="str">
        <x:v>https://www.schaeffler.com/remotemedien/media/_shared_media_rwd/08_investor_relations/reports/2026_h1_schaeffler_interim_financial_report_en_14cvjk.pdf</x:v>
      </x:c>
      <x:c r="I89" s="49" t="n">
        <x:v>46282</x:v>
      </x:c>
    </x:row>
    <x:row r="90" ht="24" hidden="0" customHeight="1">
      <x:c r="A90" s="2"/>
      <x:c r="B90" s="2"/>
      <x:c r="C90" s="45" t="str">
        <x:v>FIN029</x:v>
      </x:c>
      <x:c r="D90" s="45" t="str">
        <x:v>상장·재무·주가</x:v>
      </x:c>
      <x:c r="E90" s="45" t="str">
        <x:v>H1 CFO 184·capex 432·회사 FCF -325·M&amp;A 전 -300백만 EUR</x:v>
      </x:c>
      <x:c r="F90" s="45" t="str">
        <x:v>일치</x:v>
      </x:c>
      <x:c r="G90" s="45" t="str">
        <x:v>FCF는 단순 CFO-capex와 다름. 회사 정의에 투자 및 리스원금 등 포함. | PDF 2·16~17쪽</x:v>
      </x:c>
      <x:c r="H90" s="45" t="str">
        <x:v>https://www.schaeffler.com/remotemedien/media/_shared_media_rwd/08_investor_relations/reports/2026_h1_schaeffler_interim_financial_report_en_14cvjk.pdf</x:v>
      </x:c>
      <x:c r="I90" s="49" t="n">
        <x:v>46282</x:v>
      </x:c>
    </x:row>
    <x:row r="91" ht="15" hidden="0" customHeight="1">
      <x:c r="A91" s="2"/>
      <x:c r="B91" s="2"/>
      <x:c r="C91" s="45" t="str">
        <x:v>FIN030</x:v>
      </x:c>
      <x:c r="D91" s="45" t="str">
        <x:v>상장·재무·주가</x:v>
      </x:c>
      <x:c r="E91" s="45" t="str">
        <x:v>가격 6.86 EUR·참고 지분가치 6,481.909백만 EUR</x:v>
      </x:c>
      <x:c r="F91" s="45" t="str">
        <x:v>계산일치</x:v>
      </x:c>
      <x:c r="G91" s="45" t="str">
        <x:v>9/16 표시 가격 확인. 공식 발행수×가격이며 Google 표시 시총 6.33B와 구분. | Google Sep 16 17:38:13 GMT+2</x:v>
      </x:c>
      <x:c r="H91" s="45" t="str">
        <x:v>https://www.google.com/finance/quote/SHA0:ETR</x:v>
      </x:c>
      <x:c r="I91" s="49" t="n">
        <x:v>46282</x:v>
      </x:c>
    </x:row>
    <x:row r="92" ht="15" hidden="0" customHeight="1">
      <x:c r="A92" s="2"/>
      <x:c r="B92" s="2"/>
      <x:c r="C92" s="45" t="str">
        <x:v>FIN031</x:v>
      </x:c>
      <x:c r="D92" s="45" t="str">
        <x:v>상장·재무·주가</x:v>
      </x:c>
      <x:c r="E92" s="45" t="str">
        <x:v>6324·도쿄 Prime 상장</x:v>
      </x:c>
      <x:c r="F92" s="45" t="str">
        <x:v>일치</x:v>
      </x:c>
      <x:c r="G92" s="45" t="str">
        <x:v>공식 General Stock Information에 코드 및 Prime 시장 명시 | 공식 주식정보</x:v>
      </x:c>
      <x:c r="H92" s="45" t="str">
        <x:v>https://www.hds.co.jp/english/ir/stock/information/</x:v>
      </x:c>
      <x:c r="I92" s="49" t="n">
        <x:v>46282</x:v>
      </x:c>
    </x:row>
    <x:row r="93" ht="15" hidden="0" customHeight="1">
      <x:c r="A93" s="2"/>
      <x:c r="B93" s="2"/>
      <x:c r="C93" s="45" t="str">
        <x:v>FIN032</x:v>
      </x:c>
      <x:c r="D93" s="45" t="str">
        <x:v>상장·재무·주가</x:v>
      </x:c>
      <x:c r="E93" s="45" t="str">
        <x:v>2026-02-27 Standard→Prime 이전일</x:v>
      </x:c>
      <x:c r="F93" s="45" t="str">
        <x:v>미확인</x:v>
      </x:c>
      <x:c r="G93" s="45" t="str">
        <x:v>이전일은 기존 근거를 제시하거나 현재 Prime만 표시 | 현재 Prime은 확인했으나 이번 확인에서 이전일 발표를 다시 열지 못했다. | 공식 주식정보</x:v>
      </x:c>
      <x:c r="H93" s="45" t="str">
        <x:v>https://www.hds.co.jp/english/ir/stock/information/</x:v>
      </x:c>
      <x:c r="I93" s="49" t="n">
        <x:v>46282</x:v>
      </x:c>
    </x:row>
    <x:row r="94" ht="15" hidden="0" customHeight="1">
      <x:c r="A94" s="2"/>
      <x:c r="B94" s="2"/>
      <x:c r="C94" s="45" t="str">
        <x:v>FIN033</x:v>
      </x:c>
      <x:c r="D94" s="45" t="str">
        <x:v>상장·재무·주가</x:v>
      </x:c>
      <x:c r="E94" s="45" t="str">
        <x:v>현재 재무 수치 null</x:v>
      </x:c>
      <x:c r="F94" s="45" t="str">
        <x:v>미확인</x:v>
      </x:c>
      <x:c r="G94" s="45" t="str">
        <x:v>공식 원문 재무 숫자를 확보하지 못했다. 제공자 숫자로 공시 원문의 빈칸을 대신하지 않는다. | 공식 IR</x:v>
      </x:c>
      <x:c r="H94" s="45" t="str">
        <x:v>https://www.hds.co.jp/ir/event/accounts/</x:v>
      </x:c>
      <x:c r="I94" s="49" t="n">
        <x:v>46282</x:v>
      </x:c>
    </x:row>
    <x:row r="95" ht="15" hidden="0" customHeight="1">
      <x:c r="A95" s="2"/>
      <x:c r="B95" s="2"/>
      <x:c r="C95" s="45" t="str">
        <x:v>FIN034</x:v>
      </x:c>
      <x:c r="D95" s="45" t="str">
        <x:v>상장·재무·주가</x:v>
      </x:c>
      <x:c r="E95" s="45" t="str">
        <x:v>가격 6,020 JPY·시총 579,820백만 JPY</x:v>
      </x:c>
      <x:c r="F95" s="45" t="str">
        <x:v>제공값일치</x:v>
      </x:c>
      <x:c r="G95" s="45" t="str">
        <x:v>2026-09-17 12:37:14 JST 표시 가격 6,020 JPY·반올림 시총 579,820백만 JPY가 확인된다. 11:16 JST와는 다른 장중 시점이다. | Google Finance</x:v>
      </x:c>
      <x:c r="H95" s="45" t="str">
        <x:v>https://www.google.com/finance/quote/6324:TYO</x:v>
      </x:c>
      <x:c r="I95" s="49" t="n">
        <x:v>46282</x:v>
      </x:c>
    </x:row>
    <x:row r="96" ht="15" hidden="0" customHeight="1">
      <x:c r="A96" s="2"/>
      <x:c r="B96" s="2"/>
      <x:c r="C96" s="45" t="str">
        <x:v>FIN035</x:v>
      </x:c>
      <x:c r="D96" s="45" t="str">
        <x:v>상장·재무·주가</x:v>
      </x:c>
      <x:c r="E96" s="45" t="str">
        <x:v>H1 매출 151,067·영업이익 22,483백만 JPY</x:v>
      </x:c>
      <x:c r="F96" s="45" t="str">
        <x:v>일치</x:v>
      </x:c>
      <x:c r="G96" s="45" t="str">
        <x:v>계속영업 6개월 수치. 중단사업 포함 순이익 33,744와 같은 범위가 아니다. | PDF 1·8쪽</x:v>
      </x:c>
      <x:c r="H96" s="45" t="str">
        <x:v>https://www.thk.com/jp/wordpress/wp-content/uploads/2026/08/260805_financial_result_en.pdf</x:v>
      </x:c>
      <x:c r="I96" s="49" t="n">
        <x:v>46282</x:v>
      </x:c>
    </x:row>
    <x:row r="97" ht="15" hidden="0" customHeight="1">
      <x:c r="A97" s="2"/>
      <x:c r="B97" s="2"/>
      <x:c r="C97" s="45" t="str">
        <x:v>FIN036</x:v>
      </x:c>
      <x:c r="D97" s="45" t="str">
        <x:v>상장·재무·주가</x:v>
      </x:c>
      <x:c r="E97" s="45" t="str">
        <x:v>현금 116,924·차입금 139,813백만 JPY</x:v>
      </x:c>
      <x:c r="F97" s="45" t="str">
        <x:v>일치</x:v>
      </x:c>
      <x:c r="G97" s="45" t="str">
        <x:v>현재 차입 60,006 + 비유동 79,807. 기타 금융부채와 총부채를 포함한 값이 아니다. | PDF 6~7쪽</x:v>
      </x:c>
      <x:c r="H97" s="45" t="str">
        <x:v>https://www.thk.com/jp/wordpress/wp-content/uploads/2026/08/260805_financial_result_en.pdf</x:v>
      </x:c>
      <x:c r="I97" s="49" t="n">
        <x:v>46282</x:v>
      </x:c>
    </x:row>
    <x:row r="98" ht="15" hidden="0" customHeight="1">
      <x:c r="A98" s="2"/>
      <x:c r="B98" s="2"/>
      <x:c r="C98" s="45" t="str">
        <x:v>FIN037</x:v>
      </x:c>
      <x:c r="D98" s="45" t="str">
        <x:v>상장·재무·주가</x:v>
      </x:c>
      <x:c r="E98" s="45" t="str">
        <x:v>H1 CFO 18,868·유형자산 구매 8,681·단순 FCF 10,187백만 JPY</x:v>
      </x:c>
      <x:c r="F98" s="45" t="str">
        <x:v>일치</x:v>
      </x:c>
      <x:c r="G98" s="45" t="str">
        <x:v>18,868-8,681. 사업이전 지급 13,898은 단순 FCF에서 제외. | PDF 12쪽</x:v>
      </x:c>
      <x:c r="H98" s="45" t="str">
        <x:v>https://www.thk.com/jp/wordpress/wp-content/uploads/2026/08/260805_financial_result_en.pdf</x:v>
      </x:c>
      <x:c r="I98" s="49" t="n">
        <x:v>46282</x:v>
      </x:c>
    </x:row>
    <x:row r="99" ht="24" hidden="0" customHeight="1">
      <x:c r="A99" s="2"/>
      <x:c r="B99" s="2"/>
      <x:c r="C99" s="45" t="str">
        <x:v>FIN038</x:v>
      </x:c>
      <x:c r="D99" s="45" t="str">
        <x:v>상장·재무·주가</x:v>
      </x:c>
      <x:c r="E99" s="45" t="str">
        <x:v>가격 6,009 JPY·제공 시총 715,670백만 JPY</x:v>
      </x:c>
      <x:c r="F99" s="45" t="str">
        <x:v>시점 구분·정합성 보류</x:v>
      </x:c>
      <x:c r="G99" s="45" t="str">
        <x:v>참조값은 2026-09-17 11:23 JST의 6,009 JPY·제공 시총 715,670백만 JPY다. 12:38:45 JST의 6,010 JPY·715,790백만 JPY는 다른 장중 시점이다. 제공 시총과 주식 수의 정합성은 확인 보류다.</x:v>
      </x:c>
      <x:c r="H99" s="45" t="str">
        <x:v>https://www.google.com/finance/quote/6481:TYO</x:v>
      </x:c>
      <x:c r="I99" s="49" t="n">
        <x:v>46282</x:v>
      </x:c>
    </x:row>
    <x:row r="100" ht="15" hidden="0" customHeight="1">
      <x:c r="A100" s="2"/>
      <x:c r="B100" s="2"/>
      <x:c r="C100" s="45" t="str">
        <x:v>FIN039</x:v>
      </x:c>
      <x:c r="D100" s="45" t="str">
        <x:v>상장·재무·주가</x:v>
      </x:c>
      <x:c r="E100" s="45" t="str">
        <x:v>제공 시총은 주식수 정합성 보류</x:v>
      </x:c>
      <x:c r="F100" s="45" t="str">
        <x:v>일치</x:v>
      </x:c>
      <x:c r="G100" s="45" t="str">
        <x:v>표시 126.57M주×6,010은 715.79B와 일치하지 않는다. 현재 시총 확정값으로 승격 금지. | Google quote</x:v>
      </x:c>
      <x:c r="H100" s="45" t="str">
        <x:v>https://www.google.com/finance/quote/6481:TYO</x:v>
      </x:c>
      <x:c r="I100" s="49" t="n">
        <x:v>46282</x:v>
      </x:c>
    </x:row>
    <x:row r="101" ht="15" hidden="0" customHeight="1">
      <x:c r="A101" s="2"/>
      <x:c r="B101" s="2"/>
      <x:c r="C101" s="45" t="str">
        <x:v>FIN040</x:v>
      </x:c>
      <x:c r="D101" s="45" t="str">
        <x:v>상장·재무·주가</x:v>
      </x:c>
      <x:c r="E101" s="45" t="str">
        <x:v>Q2 매출 1,050.2·보고 영업이익 251.4백만 EUR</x:v>
      </x:c>
      <x:c r="F101" s="45" t="str">
        <x:v>일치</x:v>
      </x:c>
      <x:c r="G101" s="45" t="str">
        <x:v>공식 IR 제공 PDF의 분기·계속영업 표 일치 | PDF 15쪽</x:v>
      </x:c>
      <x:c r="H101" s="45" t="str">
        <x:v>https://airtools-hexagon.prod-mid-euw3.investis.com/sites/airtools-hexagon/files/pr/202607282482-1.pdf</x:v>
      </x:c>
      <x:c r="I101" s="49" t="n">
        <x:v>46282</x:v>
      </x:c>
    </x:row>
    <x:row r="102" ht="15" hidden="0" customHeight="1">
      <x:c r="A102" s="2"/>
      <x:c r="B102" s="2"/>
      <x:c r="C102" s="45" t="str">
        <x:v>FIN041</x:v>
      </x:c>
      <x:c r="D102" s="45" t="str">
        <x:v>상장·재무·주가</x:v>
      </x:c>
      <x:c r="E102" s="45" t="str">
        <x:v>현금 2,161.5·이자부채 2,500.5백만 EUR</x:v>
      </x:c>
      <x:c r="F102" s="45" t="str">
        <x:v>일치</x:v>
      </x:c>
      <x:c r="G102" s="45" t="str">
        <x:v>장기 1,581.8+단기 918.7. 회사 순부채 531.8은 리스·연금 포함 정의. | PDF 17쪽</x:v>
      </x:c>
      <x:c r="H102" s="45" t="str">
        <x:v>https://airtools-hexagon.prod-mid-euw3.investis.com/sites/airtools-hexagon/files/pr/202607282482-1.pdf</x:v>
      </x:c>
      <x:c r="I102" s="49" t="n">
        <x:v>46282</x:v>
      </x:c>
    </x:row>
    <x:row r="103" ht="15" hidden="0" customHeight="1">
      <x:c r="A103" s="2"/>
      <x:c r="B103" s="2"/>
      <x:c r="C103" s="45" t="str">
        <x:v>FIN042</x:v>
      </x:c>
      <x:c r="D103" s="45" t="str">
        <x:v>상장·재무·주가</x:v>
      </x:c>
      <x:c r="E103" s="45" t="str">
        <x:v>EBITAC 255.1(로봇 제외)·244.7(포함), H1 로봇 조정 17.7백만 EUR</x:v>
      </x:c>
      <x:c r="F103" s="45" t="str">
        <x:v>일치</x:v>
      </x:c>
      <x:c r="G103" s="45" t="str">
        <x:v>Q2 차이 10.4와 H1 17.7을 구분. 회사 조정 지표다. | PDF 6·25쪽</x:v>
      </x:c>
      <x:c r="H103" s="45" t="str">
        <x:v>https://airtools-hexagon.prod-mid-euw3.investis.com/sites/airtools-hexagon/files/pr/202607282482-1.pdf</x:v>
      </x:c>
      <x:c r="I103" s="49" t="n">
        <x:v>46282</x:v>
      </x:c>
    </x:row>
    <x:row r="104" ht="15" hidden="0" customHeight="1">
      <x:c r="A104" s="2"/>
      <x:c r="B104" s="2"/>
      <x:c r="C104" s="45" t="str">
        <x:v>FIN043</x:v>
      </x:c>
      <x:c r="D104" s="45" t="str">
        <x:v>상장·재무·주가</x:v>
      </x:c>
      <x:c r="E104" s="45" t="str">
        <x:v>Q2 투자 후 회사 영업현금 251.6백만 EUR</x:v>
      </x:c>
      <x:c r="F104" s="45" t="str">
        <x:v>일치</x:v>
      </x:c>
      <x:c r="G104" s="45" t="str">
        <x:v>400.7-26.6-82.6-39.9=251.6. 단순 표준 CFO와 다른 회사 정의. | PDF 18쪽</x:v>
      </x:c>
      <x:c r="H104" s="45" t="str">
        <x:v>https://airtools-hexagon.prod-mid-euw3.investis.com/sites/airtools-hexagon/files/pr/202607282482-1.pdf</x:v>
      </x:c>
      <x:c r="I104" s="49" t="n">
        <x:v>46282</x:v>
      </x:c>
    </x:row>
    <x:row r="105" ht="15" hidden="0" customHeight="1">
      <x:c r="A105" s="2"/>
      <x:c r="B105" s="2"/>
      <x:c r="C105" s="45" t="str">
        <x:v>FIN044</x:v>
      </x:c>
      <x:c r="D105" s="45" t="str">
        <x:v>상장·재무·주가</x:v>
      </x:c>
      <x:c r="E105" s="45" t="str">
        <x:v>Unitree 1.198%·약 500백만 EUR 평가이익 예시</x:v>
      </x:c>
      <x:c r="F105" s="45" t="str">
        <x:v>일치</x:v>
      </x:c>
      <x:c r="G105" s="45" t="str">
        <x:v>8/19 발표는 비현금·9/30 종가 평가 예정·12개월 매각제한을 명시. 기준일 실현이익 아님. | 8/19 공식 보도자료</x:v>
      </x:c>
      <x:c r="H105" s="45" t="str">
        <x:v>https://hexagon.com/company/newsroom/press-releases/2026/hexagons-shareholding-in-hangzhou-yushu-technology-co-ltd-unitree-technologies</x:v>
      </x:c>
      <x:c r="I105" s="49" t="n">
        <x:v>46282</x:v>
      </x:c>
    </x:row>
    <x:row r="106" ht="15" hidden="0" customHeight="1">
      <x:c r="A106" s="2"/>
      <x:c r="B106" s="2"/>
      <x:c r="C106" s="45" t="str">
        <x:v>FIN045</x:v>
      </x:c>
      <x:c r="D106" s="45" t="str">
        <x:v>상장·재무·주가</x:v>
      </x:c>
      <x:c r="E106" s="45" t="str">
        <x:v>9/16 표시 가격 93.68 SEK·시총 243,660백만 SEK</x:v>
      </x:c>
      <x:c r="F106" s="45" t="str">
        <x:v>제공값일치</x:v>
      </x:c>
      <x:c r="G106" s="45" t="str">
        <x:v>Google 표시가격과 반올림 시총 일치. 보고통화 EUR와 시세 SEK 분리 유지. | Google Sep 16 17:29:32 GMT+2</x:v>
      </x:c>
      <x:c r="H106" s="45" t="str">
        <x:v>https://www.google.com/finance/quote/HEXA-B:STO</x:v>
      </x:c>
      <x:c r="I106" s="49" t="n">
        <x:v>46282</x:v>
      </x:c>
    </x:row>
    <x:row r="107" ht="15" hidden="0" customHeight="1">
      <x:c r="A107" s="2"/>
      <x:c r="B107" s="2"/>
      <x:c r="C107" s="45" t="str">
        <x:v>FIN046</x:v>
      </x:c>
      <x:c r="D107" s="45" t="str">
        <x:v>상장·재무·주가</x:v>
      </x:c>
      <x:c r="E107" s="45" t="str">
        <x:v>FY2026 Q3 매출 8,751·영업이익 445백만 USD</x:v>
      </x:c>
      <x:c r="F107" s="45" t="str">
        <x:v>일치</x:v>
      </x:c>
      <x:c r="G107" s="45" t="str">
        <x:v>2026-05-31 종료 3개월. 9개월 매출 25,338과 구분. | 공식 손익표</x:v>
      </x:c>
      <x:c r="H107" s="45" t="str">
        <x:v>https://investors.jabil.com/news/news-details/2026/Jabil-Posts-Third-Quarter-Results/default.aspx</x:v>
      </x:c>
      <x:c r="I107" s="49" t="n">
        <x:v>46282</x:v>
      </x:c>
    </x:row>
    <x:row r="108" ht="15" hidden="0" customHeight="1">
      <x:c r="A108" s="2"/>
      <x:c r="B108" s="2"/>
      <x:c r="C108" s="45" t="str">
        <x:v>FIN047</x:v>
      </x:c>
      <x:c r="D108" s="45" t="str">
        <x:v>상장·재무·주가</x:v>
      </x:c>
      <x:c r="E108" s="45" t="str">
        <x:v>현금 1,360·차입 3,378백만 USD</x:v>
      </x:c>
      <x:c r="F108" s="45" t="str">
        <x:v>일치</x:v>
      </x:c>
      <x:c r="G108" s="45" t="str">
        <x:v>차입 499+2,879. 운영리스는 별도. | 공식 재무상태표</x:v>
      </x:c>
      <x:c r="H108" s="45" t="str">
        <x:v>https://investors.jabil.com/news/news-details/2026/Jabil-Posts-Third-Quarter-Results/default.aspx</x:v>
      </x:c>
      <x:c r="I108" s="49" t="n">
        <x:v>46282</x:v>
      </x:c>
    </x:row>
    <x:row r="109" ht="15" hidden="0" customHeight="1">
      <x:c r="A109" s="2"/>
      <x:c r="B109" s="2"/>
      <x:c r="C109" s="45" t="str">
        <x:v>FIN048</x:v>
      </x:c>
      <x:c r="D109" s="45" t="str">
        <x:v>상장·재무·주가</x:v>
      </x:c>
      <x:c r="E109" s="45" t="str">
        <x:v>9개월 CFO 1,269·회사 조정 FCF 991백만 USD</x:v>
      </x:c>
      <x:c r="F109" s="45" t="str">
        <x:v>일치</x:v>
      </x:c>
      <x:c r="G109" s="45" t="str">
        <x:v>1,269-382+104=991. Q3만의 FCF가 아니다. | 공식 현금흐름·FCF표</x:v>
      </x:c>
      <x:c r="H109" s="45" t="str">
        <x:v>https://investors.jabil.com/news/news-details/2026/Jabil-Posts-Third-Quarter-Results/default.aspx</x:v>
      </x:c>
      <x:c r="I109" s="49" t="n">
        <x:v>46282</x:v>
      </x:c>
    </x:row>
    <x:row r="110" ht="15" hidden="0" customHeight="1">
      <x:c r="A110" s="2"/>
      <x:c r="B110" s="2"/>
      <x:c r="C110" s="45" t="str">
        <x:v>FIN049</x:v>
      </x:c>
      <x:c r="D110" s="45" t="str">
        <x:v>상장·재무·주가</x:v>
      </x:c>
      <x:c r="E110" s="45" t="str">
        <x:v>9/16 종가 297.24 USD·시총 31,150백만 USD</x:v>
      </x:c>
      <x:c r="F110" s="45" t="str">
        <x:v>제공값일치</x:v>
      </x:c>
      <x:c r="G110" s="45" t="str">
        <x:v>Google 표시 종가·반올림 시총과 일치. | Google Sep 16 16:00:09 GMT-4</x:v>
      </x:c>
      <x:c r="H110" s="45" t="str">
        <x:v>https://www.google.com/finance/quote/JBL:NYSE</x:v>
      </x:c>
      <x:c r="I110" s="49" t="n">
        <x:v>46282</x:v>
      </x:c>
    </x:row>
    <x:row r="111" ht="15" hidden="0" customHeight="1">
      <x:c r="A111" s="2"/>
      <x:c r="B111" s="2"/>
      <x:c r="C111" s="45" t="str">
        <x:v>FIN050</x:v>
      </x:c>
      <x:c r="D111" s="45" t="str">
        <x:v>상장·재무·주가</x:v>
      </x:c>
      <x:c r="E111" s="45" t="str">
        <x:v>Q2 매출 119,796·영업이익 40,770백만 USD</x:v>
      </x:c>
      <x:c r="F111" s="45" t="str">
        <x:v>일치</x:v>
      </x:c>
      <x:c r="G111" s="45" t="str">
        <x:v>2026 Q2 3개월 공시; 연간·반기 실적 아님. | PDF 1·6쪽</x:v>
      </x:c>
      <x:c r="H111" s="45" t="str">
        <x:v>https://s206.q4cdn.com/479360582/files/doc_financials/2026/q2/2026q2-alphabet-earnings-release.pdf</x:v>
      </x:c>
      <x:c r="I111" s="49" t="n">
        <x:v>46282</x:v>
      </x:c>
    </x:row>
    <x:row r="112" ht="15" hidden="0" customHeight="1">
      <x:c r="A112" s="2"/>
      <x:c r="B112" s="2"/>
      <x:c r="C112" s="45" t="str">
        <x:v>FIN051</x:v>
      </x:c>
      <x:c r="D112" s="45" t="str">
        <x:v>상장·재무·주가</x:v>
      </x:c>
      <x:c r="E112" s="45" t="str">
        <x:v>보통주 귀속순이익 112,107백만 USD</x:v>
      </x:c>
      <x:c r="F112" s="45" t="str">
        <x:v>일치</x:v>
      </x:c>
      <x:c r="G112" s="45" t="str">
        <x:v>전체 순이익 112,193에서 우선주배당 86 차감. | PDF 6쪽</x:v>
      </x:c>
      <x:c r="H112" s="45" t="str">
        <x:v>https://s206.q4cdn.com/479360582/files/doc_financials/2026/q2/2026q2-alphabet-earnings-release.pdf</x:v>
      </x:c>
      <x:c r="I112" s="49" t="n">
        <x:v>46282</x:v>
      </x:c>
    </x:row>
    <x:row r="113" ht="24" hidden="0" customHeight="1">
      <x:c r="A113" s="2"/>
      <x:c r="B113" s="2"/>
      <x:c r="C113" s="45" t="str">
        <x:v>FIN052</x:v>
      </x:c>
      <x:c r="D113" s="45" t="str">
        <x:v>상장·재무·주가</x:v>
      </x:c>
      <x:c r="E113" s="45" t="str">
        <x:v>기타손익 순액 97,983백만 USD와 증권 순이익 98,999백만 USD의 구분</x:v>
      </x:c>
      <x:c r="F113" s="45" t="str">
        <x:v>항목명 확인</x:v>
      </x:c>
      <x:c r="G113" s="45" t="str">
        <x:v>other_income_net=97983은 기타손익 순액이며 net_gain_debt_equity_securities=98999는 별도 항목이다. 증권 순이익은 실현·미실현을 포함하며 현금흐름표의 음수 조정과 구분한다. 공식 PDF 6~7쪽.</x:v>
      </x:c>
      <x:c r="H113" s="45" t="str">
        <x:v>https://s206.q4cdn.com/479360582/files/doc_financials/2026/q2/2026q2-alphabet-earnings-release.pdf</x:v>
      </x:c>
      <x:c r="I113" s="49" t="n">
        <x:v>46282</x:v>
      </x:c>
    </x:row>
    <x:row r="114" ht="15" hidden="0" customHeight="1">
      <x:c r="A114" s="2"/>
      <x:c r="B114" s="2"/>
      <x:c r="C114" s="45" t="str">
        <x:v>FIN053</x:v>
      </x:c>
      <x:c r="D114" s="45" t="str">
        <x:v>상장·재무·주가</x:v>
      </x:c>
      <x:c r="E114" s="45" t="str">
        <x:v>현금 55,911·시장성증권 186,563·장기부채 98,165백만 USD</x:v>
      </x:c>
      <x:c r="F114" s="45" t="str">
        <x:v>일치</x:v>
      </x:c>
      <x:c r="G114" s="45" t="str">
        <x:v>현금+시장성증권은 242,474. 98,165는 장기부채이며 총차입금 단정 금지. | PDF 5쪽</x:v>
      </x:c>
      <x:c r="H114" s="45" t="str">
        <x:v>https://s206.q4cdn.com/479360582/files/doc_financials/2026/q2/2026q2-alphabet-earnings-release.pdf</x:v>
      </x:c>
      <x:c r="I114" s="49" t="n">
        <x:v>46282</x:v>
      </x:c>
    </x:row>
    <x:row r="115" ht="15" hidden="0" customHeight="1">
      <x:c r="A115" s="2"/>
      <x:c r="B115" s="2"/>
      <x:c r="C115" s="45" t="str">
        <x:v>FIN054</x:v>
      </x:c>
      <x:c r="D115" s="45" t="str">
        <x:v>상장·재무·주가</x:v>
      </x:c>
      <x:c r="E115" s="45" t="str">
        <x:v>Q2 CFO 39,069·capex 44,924·FCF -5,855백만 USD</x:v>
      </x:c>
      <x:c r="F115" s="45" t="str">
        <x:v>일치</x:v>
      </x:c>
      <x:c r="G115" s="45" t="str">
        <x:v>분기 표 39,069-44,924=-5,855 | PDF 7쪽</x:v>
      </x:c>
      <x:c r="H115" s="45" t="str">
        <x:v>https://s206.q4cdn.com/479360582/files/doc_financials/2026/q2/2026q2-alphabet-earnings-release.pdf</x:v>
      </x:c>
      <x:c r="I115" s="49" t="n">
        <x:v>46282</x:v>
      </x:c>
    </x:row>
    <x:row r="116" ht="15" hidden="0" customHeight="1">
      <x:c r="A116" s="2"/>
      <x:c r="B116" s="2"/>
      <x:c r="C116" s="45" t="str">
        <x:v>FIN055</x:v>
      </x:c>
      <x:c r="D116" s="45" t="str">
        <x:v>상장·재무·주가</x:v>
      </x:c>
      <x:c r="E116" s="45" t="str">
        <x:v>6월 증자 순액 49,600·미사용 ATM 40,000백만 USD</x:v>
      </x:c>
      <x:c r="F116" s="45" t="str">
        <x:v>일치</x:v>
      </x:c>
      <x:c r="G116" s="45" t="str">
        <x:v>보통주·의무전환우선주 혼합 조달. 6/30 현재 ATM 미사용. | PDF 2쪽</x:v>
      </x:c>
      <x:c r="H116" s="45" t="str">
        <x:v>https://s206.q4cdn.com/479360582/files/doc_financials/2026/q2/2026q2-alphabet-earnings-release.pdf</x:v>
      </x:c>
      <x:c r="I116" s="49" t="n">
        <x:v>46282</x:v>
      </x:c>
    </x:row>
    <x:row r="117" ht="15" hidden="0" customHeight="1">
      <x:c r="A117" s="2"/>
      <x:c r="B117" s="2"/>
      <x:c r="C117" s="45" t="str">
        <x:v>FIN056</x:v>
      </x:c>
      <x:c r="D117" s="45" t="str">
        <x:v>상장·재무·주가</x:v>
      </x:c>
      <x:c r="E117" s="45" t="str">
        <x:v>9/16 Class A 종가 342.87·시총 약 4.17조 USD</x:v>
      </x:c>
      <x:c r="F117" s="45" t="str">
        <x:v>제공값일치</x:v>
      </x:c>
      <x:c r="G117" s="45" t="str">
        <x:v>Google GOOGL 제공가격·회사 시총 일치. GOOG 시총과 중복합산 금지. | Google Sep 16 16:00:01 GMT-4</x:v>
      </x:c>
      <x:c r="H117" s="45" t="str">
        <x:v>https://www.google.com/finance/quote/GOOGL:NASDAQ</x:v>
      </x:c>
      <x:c r="I117" s="49" t="n">
        <x:v>46282</x:v>
      </x:c>
    </x:row>
    <x:row r="118" ht="15" hidden="0" customHeight="1">
      <x:c r="A118" s="2"/>
      <x:c r="B118" s="2"/>
      <x:c r="C118" s="45" t="str">
        <x:v>FIN057</x:v>
      </x:c>
      <x:c r="D118" s="45" t="str">
        <x:v>상장·재무·주가</x:v>
      </x:c>
      <x:c r="E118" s="45" t="str">
        <x:v>NYSE XPEV·HKEX 9868·ADS 1주=보통주 2주</x:v>
      </x:c>
      <x:c r="F118" s="45" t="str">
        <x:v>일치</x:v>
      </x:c>
      <x:c r="G118" s="45" t="str">
        <x:v>공식 분기 발표 도입부 및 ADS 각주와 일치 | 공식 8/24 실적발표</x:v>
      </x:c>
      <x:c r="H118" s="45" t="str">
        <x:v>https://ir.xiaopeng.com/news-releases/news-release-details/xpeng-reports-second-quarter-2026-unaudited-financial-results</x:v>
      </x:c>
      <x:c r="I118" s="49" t="n">
        <x:v>46282</x:v>
      </x:c>
    </x:row>
    <x:row r="119" ht="15" hidden="0" customHeight="1">
      <x:c r="A119" s="2"/>
      <x:c r="B119" s="2"/>
      <x:c r="C119" s="45" t="str">
        <x:v>FIN058</x:v>
      </x:c>
      <x:c r="D119" s="45" t="str">
        <x:v>상장·재무·주가</x:v>
      </x:c>
      <x:c r="E119" s="45" t="str">
        <x:v>Q2 매출 19,743.593·영업손실 1,142.530·순손실 1,337.064백만 CNY</x:v>
      </x:c>
      <x:c r="F119" s="45" t="str">
        <x:v>일치</x:v>
      </x:c>
      <x:c r="G119" s="45" t="str">
        <x:v>원문 천 CNY를 백만으로 변환. 미국 ADS 시세통화 USD와 구분. | 공식 손익표</x:v>
      </x:c>
      <x:c r="H119" s="45" t="str">
        <x:v>https://ir.xiaopeng.com/news-releases/news-release-details/xpeng-reports-second-quarter-2026-unaudited-financial-results</x:v>
      </x:c>
      <x:c r="I119" s="49" t="n">
        <x:v>46282</x:v>
      </x:c>
    </x:row>
    <x:row r="120" ht="15" hidden="0" customHeight="1">
      <x:c r="A120" s="2"/>
      <x:c r="B120" s="2"/>
      <x:c r="C120" s="45" t="str">
        <x:v>FIN059</x:v>
      </x:c>
      <x:c r="D120" s="45" t="str">
        <x:v>상장·재무·주가</x:v>
      </x:c>
      <x:c r="E120" s="45" t="str">
        <x:v>현금성자산 14,238.387·광의 현금 40,480백만 CNY</x:v>
      </x:c>
      <x:c r="F120" s="45" t="str">
        <x:v>범위일치</x:v>
      </x:c>
      <x:c r="G120" s="45" t="str">
        <x:v>광의 수치에는 제한현금·예금·단기투자 포함. 현금만과 혼동 금지. | 공식 재무상태표·각주</x:v>
      </x:c>
      <x:c r="H120" s="45" t="str">
        <x:v>https://ir.xiaopeng.com/news-releases/news-release-details/xpeng-reports-second-quarter-2026-unaudited-financial-results</x:v>
      </x:c>
      <x:c r="I120" s="49" t="n">
        <x:v>46282</x:v>
      </x:c>
    </x:row>
    <x:row r="121" ht="15" hidden="0" customHeight="1">
      <x:c r="A121" s="2"/>
      <x:c r="B121" s="2"/>
      <x:c r="C121" s="45" t="str">
        <x:v>FIN060</x:v>
      </x:c>
      <x:c r="D121" s="45" t="str">
        <x:v>상장·재무·주가</x:v>
      </x:c>
      <x:c r="E121" s="45" t="str">
        <x:v>차입금+금융리스 24,484.772백만 CNY</x:v>
      </x:c>
      <x:c r="F121" s="45" t="str">
        <x:v>계산일치</x:v>
      </x:c>
      <x:c r="G121" s="45" t="str">
        <x:v>10,070+706.156+8,983.337+75.910+4,649.369=24,484.772; 운영리스 제외. | 공식 재무상태표</x:v>
      </x:c>
      <x:c r="H121" s="45" t="str">
        <x:v>https://ir.xiaopeng.com/news-releases/news-release-details/xpeng-reports-second-quarter-2026-unaudited-financial-results</x:v>
      </x:c>
      <x:c r="I121" s="49" t="n">
        <x:v>46282</x:v>
      </x:c>
    </x:row>
    <x:row r="122" ht="15" hidden="0" customHeight="1">
      <x:c r="A122" s="2"/>
      <x:c r="B122" s="2"/>
      <x:c r="C122" s="45" t="str">
        <x:v>FIN061</x:v>
      </x:c>
      <x:c r="D122" s="45" t="str">
        <x:v>상장·재무·주가</x:v>
      </x:c>
      <x:c r="E122" s="45" t="str">
        <x:v>Dogotix 신주 인수 US$900m은 조건부 계약</x:v>
      </x:c>
      <x:c r="F122" s="45" t="str">
        <x:v>일치</x:v>
      </x:c>
      <x:c r="G122" s="45" t="str">
        <x:v>8/24 공시 conditionally agreed. 공개 자료만으로 입금·종결 완료가 아니다. | Recent Developments</x:v>
      </x:c>
      <x:c r="H122" s="45" t="str">
        <x:v>https://ir.xiaopeng.com/news-releases/news-release-details/xpeng-reports-second-quarter-2026-unaudited-financial-results</x:v>
      </x:c>
      <x:c r="I122" s="49" t="n">
        <x:v>46282</x:v>
      </x:c>
    </x:row>
    <x:row r="123" ht="15" hidden="0" customHeight="1">
      <x:c r="A123" s="2"/>
      <x:c r="B123" s="2"/>
      <x:c r="C123" s="45" t="str">
        <x:v>FIN062</x:v>
      </x:c>
      <x:c r="D123" s="45" t="str">
        <x:v>상장·재무·주가</x:v>
      </x:c>
      <x:c r="E123" s="45" t="str">
        <x:v>9/16 ADS 종가 10.34 USD·시총 보류</x:v>
      </x:c>
      <x:c r="F123" s="45" t="str">
        <x:v>일치</x:v>
      </x:c>
      <x:c r="G123" s="45" t="str">
        <x:v>Google 종가 확인; 표시 시총과 제공 주식수의 범위가 달라 보류 유지. | Google Sep 16 16:00:05 GMT-4</x:v>
      </x:c>
      <x:c r="H123" s="45" t="str">
        <x:v>https://www.google.com/finance/quote/XPEV:NYSE</x:v>
      </x:c>
      <x:c r="I123" s="49" t="n">
        <x:v>46282</x:v>
      </x:c>
    </x:row>
    <x:row r="124" ht="15" hidden="0" customHeight="1">
      <x:c r="A124" s="2"/>
      <x:c r="B124" s="2"/>
      <x:c r="C124" s="45" t="str">
        <x:v>FIN063</x:v>
      </x:c>
      <x:c r="D124" s="45" t="str">
        <x:v>상장·재무·주가</x:v>
      </x:c>
      <x:c r="E124" s="45" t="str">
        <x:v>OCF·capex·FCF null</x:v>
      </x:c>
      <x:c r="F124" s="45" t="str">
        <x:v>미확인</x:v>
      </x:c>
      <x:c r="G124" s="45" t="str">
        <x:v>미확인 유지 | 분기 발표의 완전 현금흐름표는 미확인. 대차대조표 차분으로 메우지 않는다. | 공식 실적발표</x:v>
      </x:c>
      <x:c r="H124" s="45" t="str">
        <x:v>https://ir.xiaopeng.com/news-releases/news-release-details/xpeng-reports-second-quarter-2026-unaudited-financial-results</x:v>
      </x:c>
      <x:c r="I124" s="49" t="n">
        <x:v>46282</x:v>
      </x:c>
    </x:row>
    <x:row r="125" ht="15" hidden="0" customHeight="1">
      <x:c r="A125" s="2"/>
      <x:c r="B125" s="2"/>
      <x:c r="C125" s="45" t="str">
        <x:v>TF01</x:v>
      </x:c>
      <x:c r="D125" s="45" t="str">
        <x:v>기술·경제성·시장·규제</x:v>
      </x:c>
      <x:c r="E125" s="45" t="str">
        <x:v>산업용 로봇 정의는 이동 플랫폼에 설치된 매니퓰레이터를 포함한다.</x:v>
      </x:c>
      <x:c r="F125" s="45" t="str">
        <x:v>확인</x:v>
      </x:c>
      <x:c r="G125" s="45" t="str">
        <x:v>IFR이 인용한 ISO 8373:2021 정의에 고정식과 이동 플랫폼 부착식이 모두 존재한다. 형태·용도·협동 적용을 배타적인 분류로 취급하지 않은 본문은 타당하다.</x:v>
      </x:c>
      <x:c r="H125" s="45" t="str">
        <x:v>https://ifr.org/industrial-robots</x:v>
      </x:c>
      <x:c r="I125" s="49" t="n">
        <x:v>46282</x:v>
      </x:c>
    </x:row>
    <x:row r="126" ht="24" hidden="0" customHeight="1">
      <x:c r="A126" s="2"/>
      <x:c r="B126" s="2"/>
      <x:c r="C126" s="45" t="str">
        <x:v>TF02</x:v>
      </x:c>
      <x:c r="D126" s="45" t="str">
        <x:v>기술·경제성·시장·규제</x:v>
      </x:c>
      <x:c r="E126" s="45" t="str">
        <x:v>ISO 10218-1:2025는 로봇 단품, -2:2025는 적용·셀 통합의 안전을 다룬다.</x:v>
      </x:c>
      <x:c r="F126" s="45" t="str">
        <x:v>확인</x:v>
      </x:c>
      <x:c r="G126" s="45" t="str">
        <x:v>ISO 공식 공개 범위에서 각 파트의 대상을 재확인했다. 두 문서 모두 2025년 2월 발간으로 표시된다.</x:v>
      </x:c>
      <x:c r="H126" s="45" t="str">
        <x:v>https://www.iso.org/standard/73933.html
https://www.iso.org/standard/73934.html</x:v>
      </x:c>
      <x:c r="I126" s="49" t="n">
        <x:v>46282</x:v>
      </x:c>
    </x:row>
    <x:row r="127" ht="24" hidden="0" customHeight="1">
      <x:c r="A127" s="2"/>
      <x:c r="B127" s="2"/>
      <x:c r="C127" s="45" t="str">
        <x:v>TF03</x:v>
      </x:c>
      <x:c r="D127" s="45" t="str">
        <x:v>기술·경제성·시장·규제</x:v>
      </x:c>
      <x:c r="E127" s="45" t="str">
        <x:v>산업용 로봇 안전 표준 하나가 이동 위험을 모두 포괄하지 않는다.</x:v>
      </x:c>
      <x:c r="F127" s="45" t="str">
        <x:v>확인</x:v>
      </x:c>
      <x:c r="G127" s="45" t="str">
        <x:v>공식 적용 범위에 이동 플랫폼 및 무인 산업차량과 결합한 이동의 위험은 범위 밖으로 명시된다. 가정용을 공장 표준의 인증으로 일괄 대체할 수 없다.</x:v>
      </x:c>
      <x:c r="H127" s="45" t="str">
        <x:v>https://www.iso.org/standard/73933.html
https://www.iso.org/standard/73934.html</x:v>
      </x:c>
      <x:c r="I127" s="49" t="n">
        <x:v>46282</x:v>
      </x:c>
    </x:row>
    <x:row r="128" ht="15" hidden="0" customHeight="1">
      <x:c r="A128" s="2"/>
      <x:c r="B128" s="2"/>
      <x:c r="C128" s="45" t="str">
        <x:v>TF04</x:v>
      </x:c>
      <x:c r="D128" s="45" t="str">
        <x:v>기술·경제성·시장·규제</x:v>
      </x:c>
      <x:c r="E128" s="45" t="str">
        <x:v>ISO 13482:2014는 개인 돌봄 로봇 안전 표준이며 개정 중이다.</x:v>
      </x:c>
      <x:c r="F128" s="45" t="str">
        <x:v>확인</x:v>
      </x:c>
      <x:c r="G128" s="45" t="str">
        <x:v>공식 페이지는 2014판이 현재 유효하되 ISO/FDIS 13482로 교체 예정, stage 90.92로 표시한다. 의료기기는 별도 범위다.</x:v>
      </x:c>
      <x:c r="H128" s="45" t="str">
        <x:v>https://www.iso.org/standard/53820.html</x:v>
      </x:c>
      <x:c r="I128" s="49" t="n">
        <x:v>46282</x:v>
      </x:c>
    </x:row>
    <x:row r="129" ht="15" hidden="0" customHeight="1">
      <x:c r="A129" s="2"/>
      <x:c r="B129" s="2"/>
      <x:c r="C129" s="45" t="str">
        <x:v>TF05</x:v>
      </x:c>
      <x:c r="D129" s="45" t="str">
        <x:v>기술·경제성·시장·규제</x:v>
      </x:c>
      <x:c r="E129" s="45" t="str">
        <x:v>RT-2는 행동을 토큰으로 연결하며 물리 기술은 로봇 데이터에서 본 범위에 제한된다.</x:v>
      </x:c>
      <x:c r="F129" s="45" t="str">
        <x:v>확인</x:v>
      </x:c>
      <x:c r="G129" s="45" t="str">
        <x:v>원논문 5절은 웹 사전학습으로 새로운 움직임 자체를 획득한 것은 아니라고 한계를 구분한다. 보고서의 의미 이해와 물리 숙련의 구분을 지지한다.</x:v>
      </x:c>
      <x:c r="H129" s="45" t="str">
        <x:v>https://arxiv.org/html/2307.15818v1</x:v>
      </x:c>
      <x:c r="I129" s="49" t="n">
        <x:v>46282</x:v>
      </x:c>
    </x:row>
    <x:row r="130" ht="15" hidden="0" customHeight="1">
      <x:c r="A130" s="2"/>
      <x:c r="B130" s="2"/>
      <x:c r="C130" s="45" t="str">
        <x:v>TF06</x:v>
      </x:c>
      <x:c r="D130" s="45" t="str">
        <x:v>기술·경제성·시장·규제</x:v>
      </x:c>
      <x:c r="E130" s="45" t="str">
        <x:v>Open X-Embodiment는 표준화한 다기체 데이터를 이용한 긍정적인 전이를 보고했다.</x:v>
      </x:c>
      <x:c r="F130" s="45" t="str">
        <x:v>확인</x:v>
      </x:c>
      <x:c r="G130" s="45" t="str">
        <x:v>원논문 초록에 표준 형식과 RT-X의 positive transfer가 명시된다. 모든 기체로 무조건 전이된다는 주장은 없다.</x:v>
      </x:c>
      <x:c r="H130" s="45" t="str">
        <x:v>https://arxiv.org/abs/2310.08864</x:v>
      </x:c>
      <x:c r="I130" s="49" t="n">
        <x:v>46282</x:v>
      </x:c>
    </x:row>
    <x:row r="131" ht="15" hidden="0" customHeight="1">
      <x:c r="A131" s="2"/>
      <x:c r="B131" s="2"/>
      <x:c r="C131" s="45" t="str">
        <x:v>TF07</x:v>
      </x:c>
      <x:c r="D131" s="45" t="str">
        <x:v>기술·경제성·시장·규제</x:v>
      </x:c>
      <x:c r="E131" s="45" t="str">
        <x:v>DROID는 다양한 실제 환경의 조작 데이터다.</x:v>
      </x:c>
      <x:c r="F131" s="45" t="str">
        <x:v>확인</x:v>
      </x:c>
      <x:c r="G131" s="45" t="str">
        <x:v>원논문 초록에서 다양한 장면·작업의 실물 시범과 일반화 개선 연구를 확인했다. 상업 현장 장기 자율성 검증과 구분해야 한다.</x:v>
      </x:c>
      <x:c r="H131" s="45" t="str">
        <x:v>https://arxiv.org/abs/2403.12945</x:v>
      </x:c>
      <x:c r="I131" s="49" t="n">
        <x:v>46282</x:v>
      </x:c>
    </x:row>
    <x:row r="132" ht="15" hidden="0" customHeight="1">
      <x:c r="A132" s="2"/>
      <x:c r="B132" s="2"/>
      <x:c r="C132" s="45" t="str">
        <x:v>TF08</x:v>
      </x:c>
      <x:c r="D132" s="45" t="str">
        <x:v>기술·경제성·시장·규제</x:v>
      </x:c>
      <x:c r="E132" s="45" t="str">
        <x:v>Figure Helix 02 발표일은 2026년 1월 27일이다.</x:v>
      </x:c>
      <x:c r="F132" s="45" t="str">
        <x:v>확인</x:v>
      </x:c>
      <x:c r="G132" s="45" t="str">
        <x:v>Figure 공식 발표의 날짜와 전신 이동·조작 통합 설명이 일치한다. 자체 시연 발표로 분류한 보고서의 증거 수준을 유지한다.</x:v>
      </x:c>
      <x:c r="H132" s="45" t="str">
        <x:v>https://www.figure.ai/news/helix-02</x:v>
      </x:c>
      <x:c r="I132" s="49" t="n">
        <x:v>46282</x:v>
      </x:c>
    </x:row>
    <x:row r="133" ht="15" hidden="0" customHeight="1">
      <x:c r="A133" s="2"/>
      <x:c r="B133" s="2"/>
      <x:c r="C133" s="45" t="str">
        <x:v>TF09</x:v>
      </x:c>
      <x:c r="D133" s="45" t="str">
        <x:v>기술·경제성·시장·규제</x:v>
      </x:c>
      <x:c r="E133" s="45" t="str">
        <x:v>Helix 02의 System 1은 200Hz, System 0는 1kHz라고 회사가 설명한다.</x:v>
      </x:c>
      <x:c r="F133" s="45" t="str">
        <x:v>확인</x:v>
      </x:c>
      <x:c r="G133" s="45" t="str">
        <x:v>공식 구조 설명에서 S1 관절 목표 200Hz와 S0 실행 1kHz를 확인했다. 센서의 새 프레임 해석 주기와 혼동하지 않는 모형 설명이 적절하다.</x:v>
      </x:c>
      <x:c r="H133" s="45" t="str">
        <x:v>https://www.figure.ai/news/helix-02</x:v>
      </x:c>
      <x:c r="I133" s="49" t="n">
        <x:v>46282</x:v>
      </x:c>
    </x:row>
    <x:row r="134" ht="15" hidden="0" customHeight="1">
      <x:c r="A134" s="2"/>
      <x:c r="B134" s="2"/>
      <x:c r="C134" s="45" t="str">
        <x:v>TF10</x:v>
      </x:c>
      <x:c r="D134" s="45" t="str">
        <x:v>기술·경제성·시장·규제</x:v>
      </x:c>
      <x:c r="E134" s="45" t="str">
        <x:v>Physical Intelligence MEM은 2026년 3월 3일 공개됐다.</x:v>
      </x:c>
      <x:c r="F134" s="45" t="str">
        <x:v>확인</x:v>
      </x:c>
      <x:c r="G134" s="45" t="str">
        <x:v>공식 연구 페이지 날짜가 일치하며 짧은 시각 기억과 장기 언어 기억을 다룬다. 작업별 성공률의 보편적 보장을 뜻하지 않는다.</x:v>
      </x:c>
      <x:c r="H134" s="45" t="str">
        <x:v>https://www.pi.website/research/memory</x:v>
      </x:c>
      <x:c r="I134" s="49" t="n">
        <x:v>46282</x:v>
      </x:c>
    </x:row>
    <x:row r="135" ht="15" hidden="0" customHeight="1">
      <x:c r="A135" s="2"/>
      <x:c r="B135" s="2"/>
      <x:c r="C135" s="45" t="str">
        <x:v>TF11</x:v>
      </x:c>
      <x:c r="D135" s="45" t="str">
        <x:v>기술·경제성·시장·규제</x:v>
      </x:c>
      <x:c r="E135" s="45" t="str">
        <x:v>Physical Intelligence RLT는 2026년 3월 19일 공개됐다.</x:v>
      </x:c>
      <x:c r="F135" s="45" t="str">
        <x:v>확인</x:v>
      </x:c>
      <x:c r="G135" s="45" t="str">
        <x:v>공식 연구 페이지 날짜와 효율적인 온라인 강화학습을 통한 정밀 조작 주제가 일치한다. 국소 숙련 향상을 전체 공정 생산성으로 곧장 환산하지 않는다.</x:v>
      </x:c>
      <x:c r="H135" s="45" t="str">
        <x:v>https://www.pi.website/research/rlt</x:v>
      </x:c>
      <x:c r="I135" s="49" t="n">
        <x:v>46282</x:v>
      </x:c>
    </x:row>
    <x:row r="136" ht="15" hidden="0" customHeight="1">
      <x:c r="A136" s="2"/>
      <x:c r="B136" s="2"/>
      <x:c r="C136" s="45" t="str">
        <x:v>TF12</x:v>
      </x:c>
      <x:c r="D136" s="45" t="str">
        <x:v>기술·경제성·시장·규제</x:v>
      </x:c>
      <x:c r="E136" s="45" t="str">
        <x:v>Physical Intelligence π0.7은 2026년 4월 16일 공개됐다.</x:v>
      </x:c>
      <x:c r="F136" s="45" t="str">
        <x:v>확인</x:v>
      </x:c>
      <x:c r="G136" s="45" t="str">
        <x:v>공식 발표 날짜와 steerable model 설명을 확인했다. 새 작업 모두의 무학습 수행을 의미하지 않는다는 제한을 유지한다.</x:v>
      </x:c>
      <x:c r="H136" s="45" t="str">
        <x:v>https://www.pi.website/blog/pi07</x:v>
      </x:c>
      <x:c r="I136" s="49" t="n">
        <x:v>46282</x:v>
      </x:c>
    </x:row>
    <x:row r="137" ht="24" hidden="0" customHeight="1">
      <x:c r="A137" s="2"/>
      <x:c r="B137" s="2"/>
      <x:c r="C137" s="45" t="str">
        <x:v>TF13</x:v>
      </x:c>
      <x:c r="D137" s="45" t="str">
        <x:v>기술·경제성·시장·규제</x:v>
      </x:c>
      <x:c r="E137" s="45" t="str">
        <x:v>Gemini Robotics 2는 2026년 7월 30일 공개된 전신 VLA·ER·온디바이스 모델군이다.</x:v>
      </x:c>
      <x:c r="F137" s="45" t="str">
        <x:v>확인</x:v>
      </x:c>
      <x:c r="G137" s="45" t="str">
        <x:v>DeepMind 발표 날짜와 세 모델의 역할이 일치한다. 한국어 보도는 7월 31일 발행되어 현지 발표일과 한국 보도일이 하루 다르다.</x:v>
      </x:c>
      <x:c r="H137" s="45" t="str">
        <x:v>https://deepmind.google/blog/gemini-robotics-2-brings-whole-body-intelligence-to-robots/
https://www.etnews.com/20260731000009</x:v>
      </x:c>
      <x:c r="I137" s="49" t="n">
        <x:v>46282</x:v>
      </x:c>
    </x:row>
    <x:row r="138" ht="15" hidden="0" customHeight="1">
      <x:c r="A138" s="2"/>
      <x:c r="B138" s="2"/>
      <x:c r="C138" s="45" t="str">
        <x:v>TF14</x:v>
      </x:c>
      <x:c r="D138" s="45" t="str">
        <x:v>기술·경제성·시장·규제</x:v>
      </x:c>
      <x:c r="E138" s="45" t="str">
        <x:v>Gemini Robotics 2 공개 시연을 사람 수준의 지속 신뢰도로 해석할 수 없다.</x:v>
      </x:c>
      <x:c r="F138" s="45" t="str">
        <x:v>확인</x:v>
      </x:c>
      <x:c r="G138" s="45" t="str">
        <x:v>공식 발표도 속도 개선 필요와 다지 손 조작의 어려움을 인정한다. 손 조작 일부 과제의 공개 성공률은 32~92%로 과제마다 차이가 크다.</x:v>
      </x:c>
      <x:c r="H138" s="45" t="str">
        <x:v>https://deepmind.google/blog/gemini-robotics-2-brings-whole-body-intelligence-to-robots/</x:v>
      </x:c>
      <x:c r="I138" s="49" t="n">
        <x:v>46282</x:v>
      </x:c>
    </x:row>
    <x:row r="139" ht="15" hidden="0" customHeight="1">
      <x:c r="A139" s="2"/>
      <x:c r="B139" s="2"/>
      <x:c r="C139" s="45" t="str">
        <x:v>TF15</x:v>
      </x:c>
      <x:c r="D139" s="45" t="str">
        <x:v>기술·경제성·시장·규제</x:v>
      </x:c>
      <x:c r="E139" s="45" t="str">
        <x:v>기준일 GR00T N1.7이 NVIDIA 공식 저장소에 존재한다.</x:v>
      </x:c>
      <x:c r="F139" s="45" t="str">
        <x:v>확인</x:v>
      </x:c>
      <x:c r="G139" s="45" t="str">
        <x:v>2026-09-17 확인한 NVIDIA/Isaac-GR00T main은 N1.7 GA와 모델 가중치·후학습·평가·배포 문서를 명시한다. 저장소 확인일을 최초 발표일로 간주하지 않는다.</x:v>
      </x:c>
      <x:c r="H139" s="45" t="str">
        <x:v>https://github.com/NVIDIA/Isaac-GR00T</x:v>
      </x:c>
      <x:c r="I139" s="49" t="n">
        <x:v>46282</x:v>
      </x:c>
    </x:row>
    <x:row r="140" ht="15" hidden="0" customHeight="1">
      <x:c r="A140" s="2"/>
      <x:c r="B140" s="2"/>
      <x:c r="C140" s="45" t="str">
        <x:v>TF16</x:v>
      </x:c>
      <x:c r="D140" s="45" t="str">
        <x:v>기술·경제성·시장·규제</x:v>
      </x:c>
      <x:c r="E140" s="45" t="str">
        <x:v>Diffusion Policy는 다봉 행동 분포와 행동 시퀀스를 다룬다.</x:v>
      </x:c>
      <x:c r="F140" s="45" t="str">
        <x:v>확인</x:v>
      </x:c>
      <x:c r="G140" s="45" t="str">
        <x:v>원논문 초록·방법에서 조건부 잡음 제거, 다봉 분포와 고차원 행동, receding horizon 제어를 확인했다. 그림 생성으로 오해하지 않도록 한 설명이 맞다.</x:v>
      </x:c>
      <x:c r="H140" s="45" t="str">
        <x:v>https://arxiv.org/html/2303.04137v5</x:v>
      </x:c>
      <x:c r="I140" s="49" t="n">
        <x:v>46282</x:v>
      </x:c>
    </x:row>
    <x:row r="141" ht="15" hidden="0" customHeight="1">
      <x:c r="A141" s="2"/>
      <x:c r="B141" s="2"/>
      <x:c r="C141" s="45" t="str">
        <x:v>TF17</x:v>
      </x:c>
      <x:c r="D141" s="45" t="str">
        <x:v>기술·경제성·시장·규제</x:v>
      </x:c>
      <x:c r="E141" s="45" t="str">
        <x:v>DAgger는 순차 실행이 유도하는 관측 분포의 변화를 다룬다.</x:v>
      </x:c>
      <x:c r="F141" s="45" t="str">
        <x:v>확인</x:v>
      </x:c>
      <x:c r="G141" s="45" t="str">
        <x:v>원논문이 행동에 따라 미래 관측이 달라지는 비독립 문제와 정책이 유도하는 분포에서의 반복 학습을 다룬다.</x:v>
      </x:c>
      <x:c r="H141" s="45" t="str">
        <x:v>https://arxiv.org/abs/1011.0686</x:v>
      </x:c>
      <x:c r="I141" s="49" t="n">
        <x:v>46282</x:v>
      </x:c>
    </x:row>
    <x:row r="142" ht="15" hidden="0" customHeight="1">
      <x:c r="A142" s="2"/>
      <x:c r="B142" s="2"/>
      <x:c r="C142" s="45" t="str">
        <x:v>TF18</x:v>
      </x:c>
      <x:c r="D142" s="45" t="str">
        <x:v>기술·경제성·시장·규제</x:v>
      </x:c>
      <x:c r="E142" s="45" t="str">
        <x:v>Humanoid-Gym은 Isaac Gym 기반이며 XBot에서 sim-to-real을 검증했다.</x:v>
      </x:c>
      <x:c r="F142" s="45" t="str">
        <x:v>확인</x:v>
      </x:c>
      <x:c r="G142" s="45" t="str">
        <x:v>원논문 초록은 Isaac Gym→MuJoCo 검증과 XBot-S·XBot-L에서의 전이를 명시한다. 다른 모든 기체의 성공으로 확대하지 않은 모형 설명이 타당하다.</x:v>
      </x:c>
      <x:c r="H142" s="45" t="str">
        <x:v>https://arxiv.org/abs/2404.05695</x:v>
      </x:c>
      <x:c r="I142" s="49" t="n">
        <x:v>46282</x:v>
      </x:c>
    </x:row>
    <x:row r="143" ht="15" hidden="0" customHeight="1">
      <x:c r="A143" s="2"/>
      <x:c r="B143" s="2"/>
      <x:c r="C143" s="45" t="str">
        <x:v>TF19</x:v>
      </x:c>
      <x:c r="D143" s="45" t="str">
        <x:v>기술·경제성·시장·규제</x:v>
      </x:c>
      <x:c r="E143" s="45" t="str">
        <x:v>2018년 OpenAI 손안 조작 연구는 시뮬레이션의 물리·시각 조건을 무작위화했다.</x:v>
      </x:c>
      <x:c r="F143" s="45" t="str">
        <x:v>확인</x:v>
      </x:c>
      <x:c r="G143" s="45" t="str">
        <x:v>2018년 8월 최초 제출 이력과 마찰·외관 랜덤화, 실물 Shadow Hand 전이가 초록에 확인된다.</x:v>
      </x:c>
      <x:c r="H143" s="45" t="str">
        <x:v>https://arxiv.org/abs/1808.00177</x:v>
      </x:c>
      <x:c r="I143" s="49" t="n">
        <x:v>46282</x:v>
      </x:c>
    </x:row>
    <x:row r="144" ht="15" hidden="0" customHeight="1">
      <x:c r="A144" s="2"/>
      <x:c r="B144" s="2"/>
      <x:c r="C144" s="45" t="str">
        <x:v>TF20</x:v>
      </x:c>
      <x:c r="D144" s="45" t="str">
        <x:v>기술·경제성·시장·규제</x:v>
      </x:c>
      <x:c r="E144" s="45" t="str">
        <x:v>Figure F.03 자료는 구조 배터리·냉각·화재 전파 억제를 설명한다.</x:v>
      </x:c>
      <x:c r="F144" s="45" t="str">
        <x:v>확인</x:v>
      </x:c>
      <x:c r="G144" s="45" t="str">
        <x:v>2025년 7월 17일 공식 페이지에서 몸통 구조 통합, 강제 대류 냉각 및 보호 설계를 확인했다. 기체 전체 안전승인으로 확대하지 않는 본문을 유지한다.</x:v>
      </x:c>
      <x:c r="H144" s="45" t="str">
        <x:v>https://www.figure.ai/news/f-03-battery-development</x:v>
      </x:c>
      <x:c r="I144" s="49" t="n">
        <x:v>46282</x:v>
      </x:c>
    </x:row>
    <x:row r="145" ht="15" hidden="0" customHeight="1">
      <x:c r="A145" s="2"/>
      <x:c r="B145" s="2"/>
      <x:c r="C145" s="45" t="str">
        <x:v>TF21</x:v>
      </x:c>
      <x:c r="D145" s="45" t="str">
        <x:v>기술·경제성·시장·규제</x:v>
      </x:c>
      <x:c r="E145" s="45" t="str">
        <x:v>Figure 배터리 페이지의 시험·인증 표현을 전체 로봇 승인으로 확대하지 않는다.</x:v>
      </x:c>
      <x:c r="F145" s="45" t="str">
        <x:v>범위 한정</x:v>
      </x:c>
      <x:c r="G145" s="45" t="str">
        <x:v>같은 페이지는 인증 진행 중이라는 표현과 결론의 인증 완료 표현이 함께 있다. 배터리 설계 참고자료지만 해당 페이지 하나로 인증 완료일·전체 시스템 인증을 단정하지 않는다.</x:v>
      </x:c>
      <x:c r="H145" s="45" t="str">
        <x:v>https://www.figure.ai/news/f-03-battery-development</x:v>
      </x:c>
      <x:c r="I145" s="49" t="n">
        <x:v>46282</x:v>
      </x:c>
    </x:row>
    <x:row r="146" ht="15" hidden="0" customHeight="1">
      <x:c r="A146" s="2"/>
      <x:c r="B146" s="2"/>
      <x:c r="C146" s="45" t="str">
        <x:v>TF22</x:v>
      </x:c>
      <x:c r="D146" s="45" t="str">
        <x:v>기술·경제성·시장·규제</x:v>
      </x:c>
      <x:c r="E146" s="45" t="str">
        <x:v>질량 1kg이 수평 0.6m 떨어져 있으면 추가 중력 토크는 약 5.9N·m다.</x:v>
      </x:c>
      <x:c r="F146" s="45" t="str">
        <x:v>계산 재현</x:v>
      </x:c>
      <x:c r="G146" s="45" t="str">
        <x:v>1×9.80665×0.6=5.88399N·m. 본문처럼 다른 팔 질량과 동적 힘을 제외한 정적 예시다.</x:v>
      </x:c>
      <x:c r="H146" s="45" t="str"/>
      <x:c r="I146" s="49" t="n">
        <x:v>46282</x:v>
      </x:c>
    </x:row>
    <x:row r="147" ht="15" hidden="0" customHeight="1">
      <x:c r="A147" s="2"/>
      <x:c r="B147" s="2"/>
      <x:c r="C147" s="45" t="str">
        <x:v>TF23</x:v>
      </x:c>
      <x:c r="D147" s="45" t="str">
        <x:v>기술·경제성·시장·규제</x:v>
      </x:c>
      <x:c r="E147" s="45" t="str">
        <x:v>사용 가능 에너지 2kWh와 평균 전력 500W의 단순 작동시간은 4시간이다.</x:v>
      </x:c>
      <x:c r="F147" s="45" t="str">
        <x:v>계산 재현</x:v>
      </x:c>
      <x:c r="G147" s="45" t="str">
        <x:v>2kWh÷0.5kW=4h. 실제 제품 사양이 아니라 손실·예비 충전 여유 등이 별도인 예시로 명시되어 있다.</x:v>
      </x:c>
      <x:c r="H147" s="45" t="str"/>
      <x:c r="I147" s="49" t="n">
        <x:v>46282</x:v>
      </x:c>
    </x:row>
    <x:row r="148" ht="15" hidden="0" customHeight="1">
      <x:c r="A148" s="2"/>
      <x:c r="B148" s="2"/>
      <x:c r="C148" s="45" t="str">
        <x:v>TF24</x:v>
      </x:c>
      <x:c r="D148" s="45" t="str">
        <x:v>기술·경제성·시장·규제</x:v>
      </x:c>
      <x:c r="E148" s="45" t="str">
        <x:v>단계별 독립 성공률을 거듭제곱한 10·50단계 표가 맞다.</x:v>
      </x:c>
      <x:c r="F148" s="45" t="str">
        <x:v>계산 재현</x:v>
      </x:c>
      <x:c r="G148" s="45" t="str">
        <x:v>0.95의 10·50제곱=59.8737%·7.6945%, 0.99는 90.4382%·60.5006%, 0.999는 99.0045%·95.1206%. 본문 한 자리 반올림과 일치한다.</x:v>
      </x:c>
      <x:c r="H148" s="45" t="str"/>
      <x:c r="I148" s="49" t="n">
        <x:v>46282</x:v>
      </x:c>
    </x:row>
    <x:row r="149" ht="15" hidden="0" customHeight="1">
      <x:c r="A149" s="2"/>
      <x:c r="B149" s="2"/>
      <x:c r="C149" s="45" t="str">
        <x:v>TF25</x:v>
      </x:c>
      <x:c r="D149" s="45" t="str">
        <x:v>기술·경제성·시장·규제</x:v>
      </x:c>
      <x:c r="E149" s="45" t="str">
        <x:v>BLS 제조업 생산직 고용주 시간당 총보상비용은 2026년 6월 39.25달러다.</x:v>
      </x:c>
      <x:c r="F149" s="45" t="str">
        <x:v>확인</x:v>
      </x:c>
      <x:c r="G149" s="45" t="str">
        <x:v>ECEC Table 4의 Manufacturing industry 아래 Production occupations 행의 Total compensation을 확인했다. 현금 시급과 복리후생을 합한 고용주 비용이다.</x:v>
      </x:c>
      <x:c r="H149" s="45" t="str">
        <x:v>https://www.bls.gov/news.release/ecec.t04.htm</x:v>
      </x:c>
      <x:c r="I149" s="49" t="n">
        <x:v>46282</x:v>
      </x:c>
    </x:row>
    <x:row r="150" ht="24" hidden="0" customHeight="1">
      <x:c r="A150" s="2"/>
      <x:c r="B150" s="2"/>
      <x:c r="C150" s="45" t="str">
        <x:v>TF26</x:v>
      </x:c>
      <x:c r="D150" s="45" t="str">
        <x:v>기술·경제성·시장·규제</x:v>
      </x:c>
      <x:c r="E150" s="45" t="str">
        <x:v>BLS 무역·운송·유틸리티 산업의 운송·물류 직종 총보상비용은 38.33달러다.</x:v>
      </x:c>
      <x:c r="F150" s="45" t="str">
        <x:v>확인</x:v>
      </x:c>
      <x:c r="G150" s="45" t="str">
        <x:v>ECEC Table 4의 Trade, transportation and utilities 아래 Transportation and material moving occupations 행과 일치한다. 제조업 물류직 34.58달러나 전체 산업의 36.38달러와 다른 분류다.</x:v>
      </x:c>
      <x:c r="H150" s="45" t="str">
        <x:v>https://www.bls.gov/news.release/ecec.t04.htm</x:v>
      </x:c>
      <x:c r="I150" s="49" t="n">
        <x:v>46282</x:v>
      </x:c>
    </x:row>
    <x:row r="151" ht="15" hidden="0" customHeight="1">
      <x:c r="A151" s="2"/>
      <x:c r="B151" s="2"/>
      <x:c r="C151" s="45" t="str">
        <x:v>TF27</x:v>
      </x:c>
      <x:c r="D151" s="45" t="str">
        <x:v>기술·경제성·시장·규제</x:v>
      </x:c>
      <x:c r="E151" s="45" t="str">
        <x:v>BLS 서비스 직종 전체의 총보상비용은 23.73달러다.</x:v>
      </x:c>
      <x:c r="F151" s="45" t="str">
        <x:v>확인</x:v>
      </x:c>
      <x:c r="G151" s="45" t="str">
        <x:v>ECEC Table 4의 Service occupations 값과 일치한다. 특정 가사도우미·원격 조작자 실제 견적은 아니다.</x:v>
      </x:c>
      <x:c r="H151" s="45" t="str">
        <x:v>https://www.bls.gov/news.release/ecec.t04.htm</x:v>
      </x:c>
      <x:c r="I151" s="49" t="n">
        <x:v>46282</x:v>
      </x:c>
    </x:row>
    <x:row r="152" ht="15" hidden="0" customHeight="1">
      <x:c r="A152" s="2"/>
      <x:c r="B152" s="2"/>
      <x:c r="C152" s="45" t="str">
        <x:v>TF28</x:v>
      </x:c>
      <x:c r="D152" s="45" t="str">
        <x:v>기술·경제성·시장·규제</x:v>
      </x:c>
      <x:c r="E152" s="45" t="str">
        <x:v>제조업 전체 평균 48.62달러는 생산직 39.25달러보다 넓은 분류다.</x:v>
      </x:c>
      <x:c r="F152" s="45" t="str">
        <x:v>확인</x:v>
      </x:c>
      <x:c r="G152" s="45" t="str">
        <x:v>2026년 6월 표의 Manufacturing industry 총계와 하위 직종이 구별된다. 분석에서 생산직 대체비용에 전체 평균을 사용하지 않은 점을 확인했다.</x:v>
      </x:c>
      <x:c r="H152" s="45" t="str">
        <x:v>https://www.bls.gov/news.release/ecec.t04.htm</x:v>
      </x:c>
      <x:c r="I152" s="49" t="n">
        <x:v>46282</x:v>
      </x:c>
    </x:row>
    <x:row r="153" ht="15" hidden="0" customHeight="1">
      <x:c r="A153" s="2"/>
      <x:c r="B153" s="2"/>
      <x:c r="C153" s="45" t="str">
        <x:v>TF29</x:v>
      </x:c>
      <x:c r="D153" s="45" t="str">
        <x:v>기술·경제성·시장·규제</x:v>
      </x:c>
      <x:c r="E153" s="45" t="str">
        <x:v>2025년 미국 조립·제작 일자리 수는 1,799,500이다.</x:v>
      </x:c>
      <x:c r="F153" s="45" t="str">
        <x:v>확인</x:v>
      </x:c>
      <x:c r="G153" s="45" t="str">
        <x:v>BLS OOH 2025–2035 고용 전망 표의 기준연도 값과 일치한다. 사람 수·표준 FTE로 자동 환산한 통계는 아니다.</x:v>
      </x:c>
      <x:c r="H153" s="45" t="str">
        <x:v>https://www.bls.gov/ooh/production/assemblers-and-fabricators.htm</x:v>
      </x:c>
      <x:c r="I153" s="49" t="n">
        <x:v>46282</x:v>
      </x:c>
    </x:row>
    <x:row r="154" ht="15" hidden="0" customHeight="1">
      <x:c r="A154" s="2"/>
      <x:c r="B154" s="2"/>
      <x:c r="C154" s="45" t="str">
        <x:v>TF30</x:v>
      </x:c>
      <x:c r="D154" s="45" t="str">
        <x:v>기술·경제성·시장·규제</x:v>
      </x:c>
      <x:c r="E154" s="45" t="str">
        <x:v>2025년 미국 수작업 화물·재고 이동 SOC 53-7062는 2,940,300개 일자리다.</x:v>
      </x:c>
      <x:c r="F154" s="45" t="str">
        <x:v>확인</x:v>
      </x:c>
      <x:c r="G154" s="45" t="str">
        <x:v>BLS OOH 하위 직종 행과 일치한다. 상위 묶음 6,917,800과 중복 합산하지 않은 점도 확인했다.</x:v>
      </x:c>
      <x:c r="H154" s="45" t="str">
        <x:v>https://www.bls.gov/ooh/transportation-and-material-moving/hand-laborers-and-material-movers.htm</x:v>
      </x:c>
      <x:c r="I154" s="49" t="n">
        <x:v>46282</x:v>
      </x:c>
    </x:row>
    <x:row r="155" ht="15" hidden="0" customHeight="1">
      <x:c r="A155" s="2"/>
      <x:c r="B155" s="2"/>
      <x:c r="C155" s="45" t="str">
        <x:v>TF31</x:v>
      </x:c>
      <x:c r="D155" s="45" t="str">
        <x:v>기술·경제성·시장·규제</x:v>
      </x:c>
      <x:c r="E155" s="45" t="str">
        <x:v>2025년 미국 청소원·건물 청소 SOC 37-2011은 2,432,600개 일자리다.</x:v>
      </x:c>
      <x:c r="F155" s="45" t="str">
        <x:v>확인</x:v>
      </x:c>
      <x:c r="G155" s="45" t="str">
        <x:v>BLS OOH 기준연도 표와 일치한다. 가사 청소원은 제외되지만 학교·병원 등의 청소를 포함하므로 상업 건물만의 수치로 좁히면 안 된다.</x:v>
      </x:c>
      <x:c r="H155" s="45" t="str">
        <x:v>https://www.bls.gov/ooh/building-and-grounds-cleaning/janitors-and-building-cleaners.htm</x:v>
      </x:c>
      <x:c r="I155" s="49" t="n">
        <x:v>46282</x:v>
      </x:c>
    </x:row>
    <x:row r="156" ht="15" hidden="0" customHeight="1">
      <x:c r="A156" s="2"/>
      <x:c r="B156" s="2"/>
      <x:c r="C156" s="45" t="str">
        <x:v>TF32</x:v>
      </x:c>
      <x:c r="D156" s="45" t="str">
        <x:v>기술·경제성·시장·규제</x:v>
      </x:c>
      <x:c r="E156" s="45" t="str">
        <x:v>Goldman Sachs 공개 설명은 2024년 2월 27일의 2035년 380억 달러·출하 140만 대 전망이다.</x:v>
      </x:c>
      <x:c r="F156" s="45" t="str">
        <x:v>확인</x:v>
      </x:c>
      <x:c r="G156" s="45" t="str">
        <x:v>공식 날짜·TAM·출하 전망이 일치한다. 관측 실적이나 2026년 신규 전망으로 표기하지 않은 점을 확인했다.</x:v>
      </x:c>
      <x:c r="H156" s="45" t="str">
        <x:v>https://www.goldmansachs.com/insights/articles/the-global-market-for-robots-could-reach-38-billion-by-2035</x:v>
      </x:c>
      <x:c r="I156" s="49" t="n">
        <x:v>46282</x:v>
      </x:c>
    </x:row>
    <x:row r="157" ht="15" hidden="0" customHeight="1">
      <x:c r="A157" s="2"/>
      <x:c r="B157" s="2"/>
      <x:c r="C157" s="45" t="str">
        <x:v>TF33</x:v>
      </x:c>
      <x:c r="D157" s="45" t="str">
        <x:v>기술·경제성·시장·규제</x:v>
      </x:c>
      <x:c r="E157" s="45" t="str">
        <x:v>Goldman Sachs의 비용 하락 40%는 해당 2024년 자료의 설명이다.</x:v>
      </x:c>
      <x:c r="F157" s="45" t="str">
        <x:v>확인</x:v>
      </x:c>
      <x:c r="G157" s="45" t="str">
        <x:v>공식 페이지는 종전 대비 부품·제조 비용 하락이 예상보다 빨랐다는 맥락으로 제시한다. 2026년 전체 산업의 검증된 원가 하락률로 확대하지 않는다.</x:v>
      </x:c>
      <x:c r="H157" s="45" t="str">
        <x:v>https://www.goldmansachs.com/insights/articles/the-global-market-for-robots-could-reach-38-billion-by-2035</x:v>
      </x:c>
      <x:c r="I157" s="49" t="n">
        <x:v>46282</x:v>
      </x:c>
    </x:row>
    <x:row r="158" ht="15" hidden="0" customHeight="1">
      <x:c r="A158" s="2"/>
      <x:c r="B158" s="2"/>
      <x:c r="C158" s="45" t="str">
        <x:v>TF34</x:v>
      </x:c>
      <x:c r="D158" s="45" t="str">
        <x:v>기술·경제성·시장·규제</x:v>
      </x:c>
      <x:c r="E158" s="45" t="str">
        <x:v>Morgan Stanley의 2025년 5월 공개 설명은 2050년 약 10억 대·5조 달러를 제시한다.</x:v>
      </x:c>
      <x:c r="F158" s="45" t="str">
        <x:v>확인</x:v>
      </x:c>
      <x:c r="G158" s="45" t="str">
        <x:v>2025년 5월 14일 페이지에 장기 전망과 2030년대 후반의 가속, 약 90% 산업·상업 용도 설명이 확인된다. 원보고서 날짜는 4월 29일로 별도다.</x:v>
      </x:c>
      <x:c r="H158" s="45" t="str">
        <x:v>https://www.morganstanley.com/insights/articles/humanoid-robot-market-5-trillion-by-2050</x:v>
      </x:c>
      <x:c r="I158" s="49" t="n">
        <x:v>46282</x:v>
      </x:c>
    </x:row>
    <x:row r="159" ht="15" hidden="0" customHeight="1">
      <x:c r="A159" s="2"/>
      <x:c r="B159" s="2"/>
      <x:c r="C159" s="45" t="str">
        <x:v>TF35</x:v>
      </x:c>
      <x:c r="D159" s="45" t="str">
        <x:v>기술·경제성·시장·규제</x:v>
      </x:c>
      <x:c r="E159" s="45" t="str">
        <x:v>Morgan Stanley 5조 달러의 공급망·정비 포함 관계는 공개 페이지에서 일관되지 않다.</x:v>
      </x:c>
      <x:c r="F159" s="45" t="str">
        <x:v>범위 한정</x:v>
      </x:c>
      <x:c r="G159" s="45" t="str">
        <x:v>Key Takeaways는 including, 본문은 plus라고 쓴다. 포함 관계가 일관되지 않으므로 이 전망을 자체 최종수요 모형과 합산하지 않는다.</x:v>
      </x:c>
      <x:c r="H159" s="45" t="str">
        <x:v>https://www.morganstanley.com/insights/articles/humanoid-robot-market-5-trillion-by-2050</x:v>
      </x:c>
      <x:c r="I159" s="49" t="n">
        <x:v>46282</x:v>
      </x:c>
    </x:row>
    <x:row r="160" ht="15" hidden="0" customHeight="1">
      <x:c r="A160" s="2"/>
      <x:c r="B160" s="2"/>
      <x:c r="C160" s="45" t="str">
        <x:v>TF36</x:v>
      </x:c>
      <x:c r="D160" s="45" t="str">
        <x:v>기술·경제성·시장·규제</x:v>
      </x:c>
      <x:c r="E160" s="45" t="str">
        <x:v>UBS의 2035년 300~500억·2050년 1.4~1.7조 달러는 언론 인용으로 제시했다.</x:v>
      </x:c>
      <x:c r="F160" s="45" t="str">
        <x:v>2차 자료 확인</x:v>
      </x:c>
      <x:c r="G160" s="45" t="str">
        <x:v>금액은 계속 2차 인용 표시 | 2025년 6월 18일 MarketWatch 기사에서 해당 범위가 확인된다. 금액의 상세 산출법 원보고서는 이번에도 확보하지 못했다.</x:v>
      </x:c>
      <x:c r="H160" s="45" t="str">
        <x:v>https://www.marketwatch.com/story/300-million-humanoid-robots-are-coming-and-here-are-the-companies-that-will-benefit-04c36ae8</x:v>
      </x:c>
      <x:c r="I160" s="49" t="n">
        <x:v>46282</x:v>
      </x:c>
    </x:row>
    <x:row r="161" ht="15" hidden="0" customHeight="1">
      <x:c r="A161" s="2"/>
      <x:c r="B161" s="2"/>
      <x:c r="C161" s="45" t="str">
        <x:v>TF37</x:v>
      </x:c>
      <x:c r="D161" s="45" t="str">
        <x:v>기술·경제성·시장·규제</x:v>
      </x:c>
      <x:c r="E161" s="45" t="str">
        <x:v>UBS 공식 공개 페이지의 휴머노이드 물량 전망</x:v>
      </x:c>
      <x:c r="F161" s="45" t="str">
        <x:v>공식 원문 확인</x:v>
      </x:c>
      <x:c r="G161" s="45" t="str">
        <x:v>UBS의 Greater China Conference 2026 설명에는 2035년 200만 대 초과, 2050년 3억 대라는 분석가 전망이 명시되어 있다. 금액 전망의 2차 인용과 구분되는 공식 물량 근거다.</x:v>
      </x:c>
      <x:c r="H161" s="45" t="str">
        <x:v>https://www.ubs.com/global/en/investment-bank/insights-and-data/articles/ai-and-robots.html</x:v>
      </x:c>
      <x:c r="I161" s="49" t="n">
        <x:v>46282</x:v>
      </x:c>
    </x:row>
    <x:row r="162" ht="24" hidden="0" customHeight="1">
      <x:c r="A162" s="2"/>
      <x:c r="B162" s="2"/>
      <x:c r="C162" s="45" t="str">
        <x:v>TF38</x:v>
      </x:c>
      <x:c r="D162" s="45" t="str">
        <x:v>기술·경제성·시장·규제</x:v>
      </x:c>
      <x:c r="E162" s="45" t="str">
        <x:v>Deloitte Korea의 2035년 380억 달러는 별도 독립 전망으로 세지 않는다.</x:v>
      </x:c>
      <x:c r="F162" s="45" t="str">
        <x:v>확인</x:v>
      </x:c>
      <x:c r="G162" s="45" t="str">
        <x:v>가능하면 시장 문단 링크를 공식 PDF로 교체 | 2025년 5월 PDF 4쪽 그래프는 Goldman Sachs Research와 Deloitte Insights analysis를 출처로 표시한다. 웹 소개보다 해당 PDF를 직접 연결하면 근거가 명확하다.</x:v>
      </x:c>
      <x:c r="H162" s="45" t="str">
        <x:v>https://www.deloitte.com/content/dam/assets-zone1/kr/ko/docs/industries/technology-media-telecommunications/2025/humanoid-robotics-r.pdf</x:v>
      </x:c>
      <x:c r="I162" s="49" t="n">
        <x:v>46282</x:v>
      </x:c>
    </x:row>
    <x:row r="163" ht="15" hidden="0" customHeight="1">
      <x:c r="A163" s="2"/>
      <x:c r="B163" s="2"/>
      <x:c r="C163" s="45" t="str">
        <x:v>TF39</x:v>
      </x:c>
      <x:c r="D163" s="45" t="str">
        <x:v>기술·경제성·시장·규제</x:v>
      </x:c>
      <x:c r="E163" s="45" t="str">
        <x:v>IFR World Robotics 2025는 2024년 산업용 로봇 신규 설치 542,000대를 제시한다.</x:v>
      </x:c>
      <x:c r="F163" s="45" t="str">
        <x:v>확인</x:v>
      </x:c>
      <x:c r="G163" s="45" t="str">
        <x:v>2025년 9월 25일 공식 발표에서 관측연도 2024와 신규 설치량 542,000을 확인했다. 휴머노이드 출하량이 아니고 발간연도와 관측연도가 다르다.</x:v>
      </x:c>
      <x:c r="H163" s="45" t="str">
        <x:v>https://ifr.org/ifr-press-releases/news/global-robot-demand-in-factories-doubles-over-10-years</x:v>
      </x:c>
      <x:c r="I163" s="49" t="n">
        <x:v>46282</x:v>
      </x:c>
    </x:row>
    <x:row r="164" ht="15" hidden="0" customHeight="1">
      <x:c r="A164" s="2"/>
      <x:c r="B164" s="2"/>
      <x:c r="C164" s="45" t="str">
        <x:v>TF40</x:v>
      </x:c>
      <x:c r="D164" s="45" t="str">
        <x:v>기술·경제성·시장·규제</x:v>
      </x:c>
      <x:c r="E164" s="45" t="str">
        <x:v>EU 기계 규정 2023/1230의 일반 적용일은 2027년 1월 20일이다.</x:v>
      </x:c>
      <x:c r="F164" s="45" t="str">
        <x:v>확인</x:v>
      </x:c>
      <x:c r="G164" s="45" t="str">
        <x:v>EUR-Lex 공식 요약은 일반 적용일 2027-01-20과 조항별 선행 적용일을 구분한다. 원발행본의 2027-01-14 표기는 정정 전 날짜이므로 현행 적용일과 구별한다.</x:v>
      </x:c>
      <x:c r="H164" s="45" t="str">
        <x:v>https://eur-lex.europa.eu/EN/legal-content/summary/machinery-safety-requirements.html</x:v>
      </x:c>
      <x:c r="I164" s="49" t="n">
        <x:v>46282</x:v>
      </x:c>
    </x:row>
    <x:row r="165" ht="15" hidden="0" customHeight="1">
      <x:c r="A165" s="2"/>
      <x:c r="B165" s="2"/>
      <x:c r="C165" s="45" t="str">
        <x:v>TF41</x:v>
      </x:c>
      <x:c r="D165" s="45" t="str">
        <x:v>기술·경제성·시장·규제</x:v>
      </x:c>
      <x:c r="E165" s="45" t="str">
        <x:v>FCC DA 26-786은 2026년 7월 28일 외국산 첨단 로봇을 Covered List에 추가했다.</x:v>
      </x:c>
      <x:c r="F165" s="45" t="str">
        <x:v>확인</x:v>
      </x:c>
      <x:c r="G165" s="45" t="str">
        <x:v>FCC 원공고 1~3쪽에서 날짜·추가 범주·신규 장비 승인 제한·DoW 조건부 승인 경로를 확인했다.</x:v>
      </x:c>
      <x:c r="H165" s="45" t="str">
        <x:v>https://docs.fcc.gov/public/attachments/DA-26-786A1.pdf</x:v>
      </x:c>
      <x:c r="I165" s="49" t="n">
        <x:v>46282</x:v>
      </x:c>
    </x:row>
    <x:row r="166" ht="24" hidden="0" customHeight="1">
      <x:c r="A166" s="2"/>
      <x:c r="B166" s="2"/>
      <x:c r="C166" s="45" t="str">
        <x:v>TF42</x:v>
      </x:c>
      <x:c r="D166" s="45" t="str">
        <x:v>기술·경제성·시장·규제</x:v>
      </x:c>
      <x:c r="E166" s="45" t="str">
        <x:v>FCC foreign-produced의 미국산 최종제품 판정 기준</x:v>
      </x:c>
      <x:c r="F166" s="45" t="str">
        <x:v>정의·예외 확인</x:v>
      </x:c>
      <x:c r="G166" s="45" t="str">
        <x:v>부록 C 5쪽(전체 PDF 15쪽)에서 foreign-produced는 48 CFR 25.101(a)의 domestic end product에 해당하지 않는 물품이다. 미국산 기준은 제조 장소 외 구성품 요건과 예외를 포함하며 조건부 승인도 별도 검토해야 한다.</x:v>
      </x:c>
      <x:c r="H166" s="45" t="str">
        <x:v>https://docs.fcc.gov/public/attachments/DA-26-786A1.pdf
https://www.acquisition.gov/far/25.101</x:v>
      </x:c>
      <x:c r="I166" s="49" t="n">
        <x:v>46282</x:v>
      </x:c>
    </x:row>
    <x:row r="167" ht="15" hidden="0" customHeight="1">
      <x:c r="A167" s="2"/>
      <x:c r="B167" s="2"/>
      <x:c r="C167" s="45" t="str">
        <x:v>TF43</x:v>
      </x:c>
      <x:c r="D167" s="45" t="str">
        <x:v>기술·경제성·시장·규제</x:v>
      </x:c>
      <x:c r="E167" s="45" t="str">
        <x:v>FCC의 로봇 범위는 모든 로봇 전체와 동일하지 않다.</x:v>
      </x:c>
      <x:c r="F167" s="45" t="str">
        <x:v>범위 한정</x:v>
      </x:c>
      <x:c r="G167" s="45" t="str">
        <x:v>부록 C 4~5쪽 이미지에서 이동·중량·센서·통신·소프트웨어 조건과 고정 산업용 로봇 등의 제외를 확인했다. 수출국의 국적만으로 자동 예외를 가정할 수 없다.</x:v>
      </x:c>
      <x:c r="H167" s="45" t="str">
        <x:v>https://docs.fcc.gov/public/attachments/DA-26-786A1.pdf</x:v>
      </x:c>
      <x:c r="I167" s="49" t="n">
        <x:v>46282</x:v>
      </x:c>
    </x:row>
    <x:row r="168" ht="24" hidden="0" customHeight="1">
      <x:c r="A168" s="2"/>
      <x:c r="B168" s="2"/>
      <x:c r="C168" s="45" t="str">
        <x:v>TF44</x:v>
      </x:c>
      <x:c r="D168" s="45" t="str">
        <x:v>기술·경제성·시장·규제</x:v>
      </x:c>
      <x:c r="E168" s="45" t="str">
        <x:v>기존 승인 모델의 지위와 개별 예외·후속 조치는 별도로 확인해야 한다.</x:v>
      </x:c>
      <x:c r="F168" s="45" t="str">
        <x:v>범위 한정</x:v>
      </x:c>
      <x:c r="G168" s="45" t="str">
        <x:v>IFR 2026-08-07 설명은 기존 승인 제품은 계속 유통·사용할 수 있다고 한다. 최신 Covered List 직접 열람이 실패해 개별 예외 전체를 확인한 것은 아니다.</x:v>
      </x:c>
      <x:c r="H168" s="45" t="str">
        <x:v>https://ifr.org/ifr-press-releases/news/fcc-restrictions-on-foreign-produced-advanced-robotic-devices
https://docs.fcc.gov/public/attachments/DA-26-786A1.pdf</x:v>
      </x:c>
      <x:c r="I168" s="49" t="n">
        <x:v>46282</x:v>
      </x:c>
    </x:row>
    <x:row r="169" ht="24" hidden="0" customHeight="1">
      <x:c r="A169" s="2"/>
      <x:c r="B169" s="2"/>
      <x:c r="C169" s="45" t="str">
        <x:v>TF45</x:v>
      </x:c>
      <x:c r="D169" s="45" t="str">
        <x:v>기술·경제성·시장·규제</x:v>
      </x:c>
      <x:c r="E169" s="45" t="str">
        <x:v>models.json 출력 513개를 독립 산식으로 재현했다.</x:v>
      </x:c>
      <x:c r="F169" s="45" t="str">
        <x:v>계산 재현</x:v>
      </x:c>
      <x:c r="G169" s="45" t="str">
        <x:v>고객 비용·EAC·NPV 120개, 민감도 108개, 미국 부분시장 6개, 세계 코호트 270개, 공급사 9개를 원본 스크립트 실행 없이 대조해 전부 통과했다. 재현은 가정의 실현 가능성을 증명하지 않는다.</x:v>
      </x:c>
      <x:c r="H169" s="45" t="str"/>
      <x:c r="I169" s="49" t="n">
        <x:v>46282</x:v>
      </x:c>
    </x:row>
    <x:row r="170" ht="15" hidden="0" customHeight="1">
      <x:c r="A170" s="2"/>
      <x:c r="B170" s="2"/>
      <x:c r="C170" s="45" t="str">
        <x:v>TF46</x:v>
      </x:c>
      <x:c r="D170" s="45" t="str">
        <x:v>기술·경제성·시장·규제</x:v>
      </x:c>
      <x:c r="E170" s="45" t="str">
        <x:v>제조 휴머노이드 작업당 비용·회수기간·3년 회수 실현율이 본문과 일치한다.</x:v>
      </x:c>
      <x:c r="F170" s="45" t="str">
        <x:v>계산 재현</x:v>
      </x:c>
      <x:c r="G170" s="45" t="str">
        <x:v>단가 0.245304달러, EAC 0.281456달러, 회수 2.528063년, 실현율 58.564%로 재현했다. 이는 입력 가정 아래 조건부 결과다.</x:v>
      </x:c>
      <x:c r="H170" s="45" t="str"/>
      <x:c r="I170" s="49" t="n">
        <x:v>46282</x:v>
      </x:c>
    </x:row>
    <x:row r="171" ht="15" hidden="0" customHeight="1">
      <x:c r="A171" s="2"/>
      <x:c r="B171" s="2"/>
      <x:c r="C171" s="45" t="str">
        <x:v>TF47</x:v>
      </x:c>
      <x:c r="D171" s="45" t="str">
        <x:v>기술·경제성·시장·규제</x:v>
      </x:c>
      <x:c r="E171" s="45" t="str">
        <x:v>가정용 현금 순절감이 음수이고, 서로 다른 수명의 NPV는 바로 순위화할 수 없다.</x:v>
      </x:c>
      <x:c r="F171" s="45" t="str">
        <x:v>계산 재현</x:v>
      </x:c>
      <x:c r="G171" s="45" t="str">
        <x:v>가정용 연 순절감 -6,741.936달러, 제조 5년 NPV 42,456.041달러, 협동로봇+AMR 7년 NPV 76,099.243달러. 모형 설명이 수명·잔존 인건비 차이를 이미 제한으로 설명한다.</x:v>
      </x:c>
      <x:c r="H171" s="45" t="str"/>
      <x:c r="I171" s="49" t="n">
        <x:v>46282</x:v>
      </x:c>
    </x:row>
    <x:row r="172" ht="15" hidden="0" customHeight="1">
      <x:c r="A172" s="2"/>
      <x:c r="B172" s="2"/>
      <x:c r="C172" s="45" t="str">
        <x:v>TF48</x:v>
      </x:c>
      <x:c r="D172" s="45" t="str">
        <x:v>기술·경제성·시장·규제</x:v>
      </x:c>
      <x:c r="E172" s="45" t="str">
        <x:v>미국 3개 직업군 설치 모형은 2030년 58,836.8대·2035년 208,535.1대다.</x:v>
      </x:c>
      <x:c r="F172" s="45" t="str">
        <x:v>계산 재현</x:v>
      </x:c>
      <x:c r="G172" s="45" t="str">
        <x:v>BLS 일자리 수 외 업무·경제성·도입률·대당 대체량은 가정이다. 본문은 부분시장, job-equivalent 단위, 세계시장으로 확대 불가를 명시해 차원과 범위가 일치한다.</x:v>
      </x:c>
      <x:c r="H172" s="45" t="str"/>
      <x:c r="I172" s="49" t="n">
        <x:v>46282</x:v>
      </x:c>
    </x:row>
    <x:row r="173" ht="15" hidden="0" customHeight="1">
      <x:c r="A173" s="2"/>
      <x:c r="B173" s="2"/>
      <x:c r="C173" s="45" t="str">
        <x:v>TF49</x:v>
      </x:c>
      <x:c r="D173" s="45" t="str">
        <x:v>기술·경제성·시장·규제</x:v>
      </x:c>
      <x:c r="E173" s="45" t="str">
        <x:v>세계 시나리오의 2035년 매출은 약 171억·514억·1,454억 달러다.</x:v>
      </x:c>
      <x:c r="F173" s="45" t="str">
        <x:v>계산 재현</x:v>
      </x:c>
      <x:c r="G173" s="45" t="str">
        <x:v>비관 17.1445065bn, 기준 51.3720446bn, 낙관 145.3849867bn달러로 재현했다. 2026년 이전 코호트 0, 설치 미전환 10% 영구 제외라는 제한은 본문에 명시되어 있다.</x:v>
      </x:c>
      <x:c r="H173" s="45" t="str"/>
      <x:c r="I173" s="49" t="n">
        <x:v>46282</x:v>
      </x:c>
    </x:row>
    <x:row r="174" ht="15" hidden="0" customHeight="1">
      <x:c r="A174" s="2"/>
      <x:c r="B174" s="2"/>
      <x:c r="C174" s="45" t="str">
        <x:v>TF50</x:v>
      </x:c>
      <x:c r="D174" s="45" t="str">
        <x:v>기술·경제성·시장·규제</x:v>
      </x:c>
      <x:c r="E174" s="45" t="str">
        <x:v>공급사 예시의 손익분기 정수는 5,334대, 가격 6천 달러 인하 시 8,889대다.</x:v>
      </x:c>
      <x:c r="F174" s="45" t="str">
        <x:v>계산 재현</x:v>
      </x:c>
      <x:c r="G174" s="45" t="str">
        <x:v>80,000,000/15,000 및 /9,000을 올림하면 두 숫자가 된다. 판매량·단가·비용 모두 특정 업체 실적이 아닌 가정으로 표시되어 있다.</x:v>
      </x:c>
      <x:c r="H174" s="45" t="str"/>
      <x:c r="I174" s="49" t="n">
        <x:v>46282</x:v>
      </x:c>
    </x:row>
    <x:row r="175" ht="60" hidden="0" customHeight="1">
      <x:c r="A175" s="2"/>
      <x:c r="B175" s="2"/>
      <x:c r="C175" s="45" t="str">
        <x:v>KSC01</x:v>
      </x:c>
      <x:c r="D175" s="45" t="str">
        <x:v>소유·연구플랫폼 검토</x:v>
      </x:c>
      <x:c r="E175" s="45" t="str">
        <x:v>기업의 상장국·소유국·개발 거점과 분석 범위</x:v>
      </x:c>
      <x:c r="F175" s="45" t="str">
        <x:v>분석 범위</x:v>
      </x:c>
      <x:c r="G175" s="45" t="str">
        <x:v>세계 기업의 실제 기술·고객 증거를 기준으로 분석하며 상장국·소유 관계·개발 및 생산 거점을 구분한다.</x:v>
      </x:c>
      <x:c r="H175" s="45" t="str">
        <x:v>https://bostondynamics.com/news/hyundai-motor-group-completes-acquisition-of-boston-dynamics-from-softbank/
https://arxiv.org/html/2606.29940v2
https://arxiv.org/html/2606.07934v1
https://docs.trossenrobotics.com/interbotix_xsarms_docs/specifications/vx300s.html
https://www.doosanrobotics.com/en/about/promotion/news/doosan-robotics-strengthens-european-presence-expanded-frankfurt-branch</x:v>
      </x:c>
      <x:c r="I175" s="49" t="n">
        <x:v>46282</x:v>
      </x:c>
    </x:row>
    <x:row r="176" ht="15" hidden="0" customHeight="1">
      <x:c r="A176" s="2"/>
      <x:c r="B176" s="2"/>
      <x:c r="C176" s="45" t="str">
        <x:v>KSC02</x:v>
      </x:c>
      <x:c r="D176" s="45" t="str">
        <x:v>소유·연구플랫폼 검토</x:v>
      </x:c>
      <x:c r="E176" s="45" t="str">
        <x:v>현대차가BostonDynamics를인수했다</x:v>
      </x:c>
      <x:c r="F176" s="45" t="str">
        <x:v>범위보완</x:v>
      </x:c>
      <x:c r="G176" s="45" t="str">
        <x:v>2021년6월21일현대차그룹측80%지배지분인수종결 | 현대자동차개별법인80%로해석금지;당시시점비율</x:v>
      </x:c>
      <x:c r="H176" s="45" t="str">
        <x:v>https://bostondynamics.com/news/hyundai-motor-group-completes-acquisition-of-boston-dynamics-from-softbank/</x:v>
      </x:c>
      <x:c r="I176" s="49" t="n">
        <x:v>46282</x:v>
      </x:c>
    </x:row>
    <x:row r="177" ht="15" hidden="0" customHeight="1">
      <x:c r="A177" s="2"/>
      <x:c r="B177" s="2"/>
      <x:c r="C177" s="45" t="str">
        <x:v>KSC03</x:v>
      </x:c>
      <x:c r="D177" s="45" t="str">
        <x:v>소유·연구플랫폼 검토</x:v>
      </x:c>
      <x:c r="E177" s="45" t="str">
        <x:v>Boston Dynamics 잔여 지분 인수 추진과 최종 종결 여부</x:v>
      </x:c>
      <x:c r="F177" s="45" t="str">
        <x:v>단정제외</x:v>
      </x:c>
      <x:c r="G177" s="45" t="str">
        <x:v>2026년7월16일공식원문은추진·승인·정산등남은사항명시 | 기준일까지확인한자료로최종종결·개별법인지분율확정불가</x:v>
      </x:c>
      <x:c r="H177" s="45" t="str">
        <x:v>https://www.hyundai.com/worldwide/en/newsroom/detail/0000001225</x:v>
      </x:c>
      <x:c r="I177" s="49" t="n">
        <x:v>46282</x:v>
      </x:c>
    </x:row>
    <x:row r="178" ht="24" hidden="0" customHeight="1">
      <x:c r="A178" s="2"/>
      <x:c r="B178" s="2"/>
      <x:c r="C178" s="45" t="str">
        <x:v>KSC04</x:v>
      </x:c>
      <x:c r="D178" s="45" t="str">
        <x:v>소유·연구플랫폼 검토</x:v>
      </x:c>
      <x:c r="E178" s="45" t="str">
        <x:v>Boston Dynamics 소유 구조와 연구·생산 거점</x:v>
      </x:c>
      <x:c r="F178" s="45" t="str">
        <x:v>분류 확인</x:v>
      </x:c>
      <x:c r="G178" s="45" t="str">
        <x:v>미국 기술·연구·생산 기반과 한국 그룹의 소유·제조 연결이 공존한다. Waltham 거점 확대 원문을 통해 개발·생산 장소와 소유 관계를 구분한다.</x:v>
      </x:c>
      <x:c r="H178" s="45" t="str">
        <x:v>https://bostondynamics.com/news/boston-dynamics-expands-massachusetts-footprint-with-new-323000-square-foot-facility-in-waltham/
https://bostondynamics.com/news/hyundai-motor-group-completes-acquisition-of-boston-dynamics-from-softbank/</x:v>
      </x:c>
      <x:c r="I178" s="49" t="n">
        <x:v>46282</x:v>
      </x:c>
    </x:row>
    <x:row r="179" ht="15" hidden="0" customHeight="1">
      <x:c r="A179" s="2"/>
      <x:c r="B179" s="2"/>
      <x:c r="C179" s="45" t="str">
        <x:v>KSC05</x:v>
      </x:c>
      <x:c r="D179" s="45" t="str">
        <x:v>소유·연구플랫폼 검토</x:v>
      </x:c>
      <x:c r="E179" s="45" t="str">
        <x:v>Atlas 순간 적재량과 지속 적재량의 구분</x:v>
      </x:c>
      <x:c r="F179" s="45" t="str">
        <x:v>범위확인</x:v>
      </x:c>
      <x:c r="G179" s="45" t="str">
        <x:v>순간50kg/지속30kg사양구분 | 제조사사양이며장기가동고객로그아님</x:v>
      </x:c>
      <x:c r="H179" s="45" t="str">
        <x:v>https://bostondynamics.com/products/atlas/</x:v>
      </x:c>
      <x:c r="I179" s="49" t="n">
        <x:v>46282</x:v>
      </x:c>
    </x:row>
    <x:row r="180" ht="24" hidden="0" customHeight="1">
      <x:c r="A180" s="2"/>
      <x:c r="B180" s="2"/>
      <x:c r="C180" s="45" t="str">
        <x:v>KSC06</x:v>
      </x:c>
      <x:c r="D180" s="45" t="str">
        <x:v>소유·연구플랫폼 검토</x:v>
      </x:c>
      <x:c r="E180" s="45" t="str">
        <x:v>DRC-HUBO 2015 우승과 현재 상업 성능의 관계</x:v>
      </x:c>
      <x:c r="F180" s="45" t="str">
        <x:v>과대해석제외</x:v>
      </x:c>
      <x:c r="G180" s="45" t="str">
        <x:v>KAISTDRC-HUBO2015우승은역사적기술근거 | 현행RB-Y1매출·자율노동생산성과구분</x:v>
      </x:c>
      <x:c r="H180" s="45" t="str">
        <x:v>https://www.kaist.ac.kr/newsen/html/news/?mng_no=4379&amp;mode=V
https://rainbow-robotics.com/products/rb-y1/</x:v>
      </x:c>
      <x:c r="I180" s="49" t="n">
        <x:v>46282</x:v>
      </x:c>
    </x:row>
    <x:row r="181" ht="15" hidden="0" customHeight="1">
      <x:c r="A181" s="2"/>
      <x:c r="B181" s="2"/>
      <x:c r="C181" s="45" t="str">
        <x:v>KSC07</x:v>
      </x:c>
      <x:c r="D181" s="45" t="str">
        <x:v>소유·연구플랫폼 검토</x:v>
      </x:c>
      <x:c r="E181" s="45" t="str">
        <x:v>RB-Y1 전체 자유도와 조작 자유도의 범위</x:v>
      </x:c>
      <x:c r="F181" s="45" t="str">
        <x:v>출처내불일치</x:v>
      </x:c>
      <x:c r="G181" s="45" t="str">
        <x:v>양팔14+몸통6의조작20으로범위한정 | 공식페이지본문24/표A20·M26불일치;전체합계보류</x:v>
      </x:c>
      <x:c r="H181" s="45" t="str">
        <x:v>https://rainbow-robotics.com/products/rb-y1/</x:v>
      </x:c>
      <x:c r="I181" s="49" t="n">
        <x:v>46282</x:v>
      </x:c>
    </x:row>
    <x:row r="182" ht="15" hidden="0" customHeight="1">
      <x:c r="A182" s="2"/>
      <x:c r="B182" s="2"/>
      <x:c r="C182" s="45" t="str">
        <x:v>KSC08</x:v>
      </x:c>
      <x:c r="D182" s="45" t="str">
        <x:v>소유·연구플랫폼 검토</x:v>
      </x:c>
      <x:c r="E182" s="45" t="str">
        <x:v>Amazon 연구팀의 RB-Y1 실험 사용과 물류 생산 배치의 구분</x:v>
      </x:c>
      <x:c r="F182" s="45" t="str">
        <x:v>연구와생산구분</x:v>
      </x:c>
      <x:c r="G182" s="45" t="str">
        <x:v>Amazon·UCBerkeley연구팀X-OP실험사용확인 | 논문은통제연구실실험이며생산배치아님명시</x:v>
      </x:c>
      <x:c r="H182" s="45" t="str">
        <x:v>https://arxiv.org/html/2606.07934v1</x:v>
      </x:c>
      <x:c r="I182" s="49" t="n">
        <x:v>46282</x:v>
      </x:c>
    </x:row>
    <x:row r="183" ht="15" hidden="0" customHeight="1">
      <x:c r="A183" s="2"/>
      <x:c r="B183" s="2"/>
      <x:c r="C183" s="45" t="str">
        <x:v>KSC09</x:v>
      </x:c>
      <x:c r="D183" s="45" t="str">
        <x:v>소유·연구플랫폼 검토</x:v>
      </x:c>
      <x:c r="E183" s="45" t="str">
        <x:v>RB-Y1 WARP 연구의 외부 추적 장치 조건</x:v>
      </x:c>
      <x:c r="F183" s="45" t="str">
        <x:v>조건보완</x:v>
      </x:c>
      <x:c r="G183" s="45" t="str">
        <x:v>AprilTags/Vicon등외부추적체계를사용한연구 | 인지측위오차제거조건,연구알고리즘소유주구분</x:v>
      </x:c>
      <x:c r="H183" s="45" t="str">
        <x:v>https://arxiv.org/html/2606.29940v2</x:v>
      </x:c>
      <x:c r="I183" s="49" t="n">
        <x:v>46282</x:v>
      </x:c>
    </x:row>
    <x:row r="184" ht="24" hidden="0" customHeight="1">
      <x:c r="A184" s="2"/>
      <x:c r="B184" s="2"/>
      <x:c r="C184" s="45" t="str">
        <x:v>KSC10</x:v>
      </x:c>
      <x:c r="D184" s="45" t="str">
        <x:v>소유·연구플랫폼 검토</x:v>
      </x:c>
      <x:c r="E184" s="45" t="str">
        <x:v>ROBOTIS–Trossen–ALOHA 2의 기술·공급 연결</x:v>
      </x:c>
      <x:c r="F184" s="45" t="str">
        <x:v>공급관계제한</x:v>
      </x:c>
      <x:c r="G184" s="45" t="str">
        <x:v>TrossenDYNAMIXEL채택과ALOHA2Trossen플랫폼연결 | 중간제조사를거친기술적연결은직접거액계약증거아님</x:v>
      </x:c>
      <x:c r="H184" s="45" t="str">
        <x:v>https://docs.trossenrobotics.com/interbotix_xsarms_docs/specifications/vx300s.html
https://aloha-2.github.io/</x:v>
      </x:c>
      <x:c r="I184" s="49" t="n">
        <x:v>46282</x:v>
      </x:c>
    </x:row>
    <x:row r="185" ht="36" hidden="0" customHeight="1">
      <x:c r="A185" s="2"/>
      <x:c r="B185" s="2"/>
      <x:c r="C185" s="45" t="str">
        <x:v>KSC11</x:v>
      </x:c>
      <x:c r="D185" s="45" t="str">
        <x:v>소유·연구플랫폼 검토</x:v>
      </x:c>
      <x:c r="E185" s="45" t="str">
        <x:v>AI Worker·OMY·AI Sapiens의 기체 분류</x:v>
      </x:c>
      <x:c r="F185" s="45" t="str">
        <x:v>제품 분류 확인</x:v>
      </x:c>
      <x:c r="G185" s="45" t="str">
        <x:v>각각 바퀴형 양팔·6DOF 조작기·이족 연구 플랫폼이다. 기체 공개와 납품·매출은 별도로 확인한다.</x:v>
      </x:c>
      <x:c r="H185" s="45" t="str">
        <x:v>https://www.robotis.com/en/product/ecosystem-aiworker.php
https://www.robotis.com/en/product/ecosystem-aisapiens.php
https://www.robotis.com/en/product/ecosystem-omy.php</x:v>
      </x:c>
      <x:c r="I185" s="49" t="n">
        <x:v>46282</x:v>
      </x:c>
    </x:row>
    <x:row r="186" ht="24" hidden="0" customHeight="1">
      <x:c r="A186" s="2"/>
      <x:c r="B186" s="2"/>
      <x:c r="C186" s="45" t="str">
        <x:v>KSC12</x:v>
      </x:c>
      <x:c r="D186" s="45" t="str">
        <x:v>소유·연구플랫폼 검토</x:v>
      </x:c>
      <x:c r="E186" s="45" t="str">
        <x:v>두산로보틱스 제품·자동화 적용 범위</x:v>
      </x:c>
      <x:c r="F186" s="45" t="str">
        <x:v>분류 확인</x:v>
      </x:c>
      <x:c r="G186" s="45" t="str">
        <x:v>확인한 제품·사례는 협동로봇과 AI 산업 통합으로 대체 자동화에 해당한다. 휴머노이드 기술 개발 발언은 완성체 납품 증거가 아니다.</x:v>
      </x:c>
      <x:c r="H186" s="45" t="str">
        <x:v>https://www.doosanrobotics.com/en/about/promotion/news/doosan-supply-large-scale-robot-solutions-kwangjin
https://www.doosanrobotics.com/en/about/promotion/news/doosan-robotics-ai-palletizing-solution-palletizhd-plus-automate-2026</x:v>
      </x:c>
      <x:c r="I186" s="49" t="n">
        <x:v>46282</x:v>
      </x:c>
    </x:row>
    <x:row r="187" ht="15" hidden="0" customHeight="1">
      <x:c r="A187" s="2"/>
      <x:c r="B187" s="2"/>
      <x:c r="C187" s="45" t="str">
        <x:v>KSC13</x:v>
      </x:c>
      <x:c r="D187" s="45" t="str">
        <x:v>소유·연구플랫폼 검토</x:v>
      </x:c>
      <x:c r="E187" s="45" t="str">
        <x:v>두산–광진 100개 이상 솔루션 협력 계획과 납품 실적</x:v>
      </x:c>
      <x:c r="F187" s="45" t="str">
        <x:v>계획과실적구분</x:v>
      </x:c>
      <x:c r="G187" s="45" t="str">
        <x:v>2027년까지100이상솔루션공급협력·계획과기존현장구분 | MOU/후속주문표현혼재,금액·매출인식불명</x:v>
      </x:c>
      <x:c r="H187" s="45" t="str">
        <x:v>https://www.doosanrobotics.com/en/about/promotion/news/doosan-supply-large-scale-robot-solutions-kwangjin</x:v>
      </x:c>
      <x:c r="I187" s="49" t="n">
        <x:v>46282</x:v>
      </x:c>
    </x:row>
    <x:row r="188" ht="24" hidden="0" customHeight="1">
      <x:c r="A188" s="2"/>
      <x:c r="B188" s="2"/>
      <x:c r="C188" s="45" t="str">
        <x:v>KSC14</x:v>
      </x:c>
      <x:c r="D188" s="45" t="str">
        <x:v>소유·연구플랫폼 검토</x:v>
      </x:c>
      <x:c r="E188" s="45" t="str">
        <x:v>두산–광진 특정 공정의 불량률 개선 범위</x:v>
      </x:c>
      <x:c r="F188" s="45" t="str">
        <x:v>상충범위조정</x:v>
      </x:c>
      <x:c r="G188" s="45" t="str">
        <x:v>특정공정품질개선·거의제로로범위한정 | 3월기업보도제로와6월취재잔존불량문구교차확인;독립장기품질보증아님</x:v>
      </x:c>
      <x:c r="H188" s="45" t="str">
        <x:v>https://www.doosanrobotics.com/en/about/promotion/news/doosan-supply-large-scale-robot-solutions-kwangjin
https://www.doosanrobotics.com/en/about/promotion/news/kwangjin-achieves-near-zero-defects-with-doosan-cobots</x:v>
      </x:c>
      <x:c r="I188" s="49" t="n">
        <x:v>46282</x:v>
      </x:c>
    </x:row>
    <x:row r="189" ht="24" hidden="0" customHeight="1">
      <x:c r="A189" s="2"/>
      <x:c r="B189" s="2"/>
      <x:c r="C189" s="45" t="str">
        <x:v>KSC15</x:v>
      </x:c>
      <x:c r="D189" s="45" t="str">
        <x:v>소유·연구플랫폼 검토</x:v>
      </x:c>
      <x:c r="E189" s="45" t="str">
        <x:v>기업별 휴머노이드 매출 비중의 공개 여부</x:v>
      </x:c>
      <x:c r="F189" s="45" t="str">
        <x:v>자료 미확인</x:v>
      </x:c>
      <x:c r="G189" s="45" t="str">
        <x:v>미공개·미확인사업별매출은null | 부품·협동로봇·이족완성체구분되지않는값추정전사금지</x:v>
      </x:c>
      <x:c r="H189" s="45" t="str">
        <x:v>https://www.doosanrobotics.com/en/investment/ir/irdata/
https://rainbow-robotics.com/company/ir/?category1=%EC%82%AC%EC%97%85%EB%B3%B4%EA%B3%A0%EC%84%9C&amp;mod=document&amp;uid=80</x:v>
      </x:c>
      <x:c r="I189" s="49" t="n">
        <x:v>46282</x:v>
      </x:c>
    </x:row>
    <x:row r="190" ht="24" hidden="0" customHeight="1">
      <x:c r="A190" s="2"/>
      <x:c r="B190" s="2"/>
      <x:c r="C190" s="45" t="str">
        <x:v>KCC001</x:v>
      </x:c>
      <x:c r="D190" s="45" t="str">
        <x:v>부품·공급관계 검토</x:v>
      </x:c>
      <x:c r="E190" s="45" t="str">
        <x:v>모비스는 Atlas 액추에이터 공급 협약을 발표했다</x:v>
      </x:c>
      <x:c r="F190" s="45" t="str">
        <x:v>확인</x:v>
      </x:c>
      <x:c r="G190" s="45" t="str">
        <x:v>공급사 발표에 Atlas 책임자 발언 포함, 고객 뉴스가 같은 발표문 연결 | 보도문 2026-01-07</x:v>
      </x:c>
      <x:c r="H190" s="45" t="str">
        <x:v>https://www.prnewswire.com/news-releases/hyundai-mobis-forms-strategic-collaboration-framework-with-boston-dynamics-302656040.html
https://bostondynamics.com/news/</x:v>
      </x:c>
      <x:c r="I190" s="49" t="n">
        <x:v>46282</x:v>
      </x:c>
    </x:row>
    <x:row r="191" ht="15" hidden="0" customHeight="1">
      <x:c r="A191" s="2"/>
      <x:c r="B191" s="2"/>
      <x:c r="C191" s="45" t="str">
        <x:v>KCC002</x:v>
      </x:c>
      <x:c r="D191" s="45" t="str">
        <x:v>부품·공급관계 검토</x:v>
      </x:c>
      <x:c r="E191" s="45" t="str">
        <x:v>모비스 Atlas 협약의 공개 계약 수량·인식 매출 여부</x:v>
      </x:c>
      <x:c r="F191" s="45" t="str">
        <x:v>근거 없음</x:v>
      </x:c>
      <x:c r="G191" s="45" t="str">
        <x:v>협약은 공급할 예정이라는 표현; 공개 계약수량·인식매출 없음</x:v>
      </x:c>
      <x:c r="H191" s="45" t="str">
        <x:v>https://www.prnewswire.com/news-releases/hyundai-mobis-forms-strategic-collaboration-framework-with-boston-dynamics-302656040.html</x:v>
      </x:c>
      <x:c r="I191" s="49" t="n">
        <x:v>46282</x:v>
      </x:c>
    </x:row>
    <x:row r="192" ht="15" hidden="0" customHeight="1">
      <x:c r="A192" s="2"/>
      <x:c r="B192" s="2"/>
      <x:c r="C192" s="45" t="str">
        <x:v>KCC003</x:v>
      </x:c>
      <x:c r="D192" s="45" t="str">
        <x:v>부품·공급관계 검토</x:v>
      </x:c>
      <x:c r="E192" s="45" t="str">
        <x:v>원익로보틱스는 Meta와 촉각통합손 공동개발</x:v>
      </x:c>
      <x:c r="F192" s="45" t="str">
        <x:v>확인</x:v>
      </x:c>
      <x:c r="G192" s="45" t="str">
        <x:v>Meta가 한국기업이름과 제조·유통 역할 명시 | Meta 2024-10-31</x:v>
      </x:c>
      <x:c r="H192" s="45" t="str">
        <x:v>https://ai.meta.com/blog/fair-robotics-open-source/</x:v>
      </x:c>
      <x:c r="I192" s="49" t="n">
        <x:v>46282</x:v>
      </x:c>
    </x:row>
    <x:row r="193" ht="24" hidden="0" customHeight="1">
      <x:c r="A193" s="2"/>
      <x:c r="B193" s="2"/>
      <x:c r="C193" s="45" t="str">
        <x:v>KCC004</x:v>
      </x:c>
      <x:c r="D193" s="45" t="str">
        <x:v>부품·공급관계 검토</x:v>
      </x:c>
      <x:c r="E193" s="45" t="str">
        <x:v>Allegro Hand 제품 세대</x:v>
      </x:c>
      <x:c r="F193" s="45" t="str">
        <x:v>사실관계 구분</x:v>
      </x:c>
      <x:c r="G193" s="45" t="str">
        <x:v>2026-09-07 V6 F의 5지·20DoF를 발표했다. V5 Sense는 별도 제품이다.</x:v>
      </x:c>
      <x:c r="H193" s="45" t="str">
        <x:v>https://www.allegrohand.com/sub/about/news.php?bid=4&amp;idx=648&amp;mode=view
https://www.allegrohand.com/sub/product/p.php?idx=22</x:v>
      </x:c>
      <x:c r="I193" s="49" t="n">
        <x:v>46282</x:v>
      </x:c>
    </x:row>
    <x:row r="194" ht="15" hidden="0" customHeight="1">
      <x:c r="A194" s="2"/>
      <x:c r="B194" s="2"/>
      <x:c r="C194" s="45" t="str">
        <x:v>KCC005</x:v>
      </x:c>
      <x:c r="D194" s="45" t="str">
        <x:v>부품·공급관계 검토</x:v>
      </x:c>
      <x:c r="E194" s="45" t="str">
        <x:v>원익의 research partners 180개와 유료 구매 고객의 구분</x:v>
      </x:c>
      <x:c r="F194" s="45" t="str">
        <x:v>과장 방지</x:v>
      </x:c>
      <x:c r="G194" s="45" t="str">
        <x:v>회사표현 research partners이며 계약과 구매대수는없음</x:v>
      </x:c>
      <x:c r="H194" s="45" t="str">
        <x:v>https://www.allegrohand.com/sub/about/news.php?bid=4&amp;idx=648&amp;mode=view</x:v>
      </x:c>
      <x:c r="I194" s="49" t="n">
        <x:v>46282</x:v>
      </x:c>
    </x:row>
    <x:row r="195" ht="24" hidden="0" customHeight="1">
      <x:c r="A195" s="2"/>
      <x:c r="B195" s="2"/>
      <x:c r="C195" s="45" t="str">
        <x:v>KCC006</x:v>
      </x:c>
      <x:c r="D195" s="45" t="str">
        <x:v>부품·공급관계 검토</x:v>
      </x:c>
      <x:c r="E195" s="45" t="str">
        <x:v>원익홀딩스와 원익로보틱스의 법인·상장 구분</x:v>
      </x:c>
      <x:c r="F195" s="45" t="str">
        <x:v>사실관계 구분</x:v>
      </x:c>
      <x:c r="G195" s="45" t="str">
        <x:v>030530은 원익홀딩스이며 원익로보틱스는 사업보고서상 비상장 종속기업이다.</x:v>
      </x:c>
      <x:c r="H195" s="45" t="str">
        <x:v>https://www.wonikholdings.kr/ir_04.do
https://www.wonikholdings.kr/ir_01_Detail.do?no_no=34&amp;page=1</x:v>
      </x:c>
      <x:c r="I195" s="49" t="n">
        <x:v>46282</x:v>
      </x:c>
    </x:row>
    <x:row r="196" ht="15" hidden="0" customHeight="1">
      <x:c r="A196" s="2"/>
      <x:c r="B196" s="2"/>
      <x:c r="C196" s="45" t="str">
        <x:v>KCC007</x:v>
      </x:c>
      <x:c r="D196" s="45" t="str">
        <x:v>부품·공급관계 검토</x:v>
      </x:c>
      <x:c r="E196" s="45" t="str">
        <x:v>2025말 원익홀딩스 원익로보틱스 지분96.66%</x:v>
      </x:c>
      <x:c r="F196" s="45" t="str">
        <x:v>확인</x:v>
      </x:c>
      <x:c r="G196" s="45" t="str">
        <x:v>사업보고서 연결종속기업표 확인 | 공시쪽122~123/PDF쪽126~127</x:v>
      </x:c>
      <x:c r="H196" s="45" t="str">
        <x:v>https://www.wonikholdings.kr/ir_01_Detail.do?no_no=34&amp;page=1</x:v>
      </x:c>
      <x:c r="I196" s="49" t="n">
        <x:v>46282</x:v>
      </x:c>
    </x:row>
    <x:row r="197" ht="15" hidden="0" customHeight="1">
      <x:c r="A197" s="2"/>
      <x:c r="B197" s="2"/>
      <x:c r="C197" s="45" t="str">
        <x:v>KCC008</x:v>
      </x:c>
      <x:c r="D197" s="45" t="str">
        <x:v>부품·공급관계 검토</x:v>
      </x:c>
      <x:c r="E197" s="45" t="str">
        <x:v>2025원익로보틱스 매출326.07억원·순손실27.94억원</x:v>
      </x:c>
      <x:c r="F197" s="45" t="str">
        <x:v>확인</x:v>
      </x:c>
      <x:c r="G197" s="45" t="str">
        <x:v>단위백만원표32607와-2794 직접대조; 모든로봇사업합계 | 공시쪽123~124/PDF쪽127~128, 이미지직접확인</x:v>
      </x:c>
      <x:c r="H197" s="45" t="str">
        <x:v>https://www.wonikholdings.kr/ir_01_Detail.do?no_no=34&amp;page=1</x:v>
      </x:c>
      <x:c r="I197" s="49" t="n">
        <x:v>46282</x:v>
      </x:c>
    </x:row>
    <x:row r="198" ht="15" hidden="0" customHeight="1">
      <x:c r="A198" s="2"/>
      <x:c r="B198" s="2"/>
      <x:c r="C198" s="45" t="str">
        <x:v>KCC009</x:v>
      </x:c>
      <x:c r="D198" s="45" t="str">
        <x:v>부품·공급관계 검토</x:v>
      </x:c>
      <x:c r="E198" s="45" t="str">
        <x:v>원익 3,500억 원 금융지원의 투자·조달 구조</x:v>
      </x:c>
      <x:c r="F198" s="45" t="str">
        <x:v>사실관계 구분</x:v>
      </x:c>
      <x:c r="G198" s="45" t="str">
        <x:v>CPS 1,500억 원 투자 승인과 민간 지분투자 2,000억 원 조달 계획이다. 매출이나 이미 전액 지급된 보조금이 아니다. | 본문 2(1)</x:v>
      </x:c>
      <x:c r="H198" s="45" t="str">
        <x:v>https://www.fsc.go.kr/no010101/87609</x:v>
      </x:c>
      <x:c r="I198" s="49" t="n">
        <x:v>46282</x:v>
      </x:c>
    </x:row>
    <x:row r="199" ht="24" hidden="0" customHeight="1">
      <x:c r="A199" s="2"/>
      <x:c r="B199" s="2"/>
      <x:c r="C199" s="45" t="str">
        <x:v>KCC010</x:v>
      </x:c>
      <x:c r="D199" s="45" t="str">
        <x:v>부품·공급관계 검토</x:v>
      </x:c>
      <x:c r="E199" s="45" t="str">
        <x:v>원익로보틱스 지분율의 기준일과 희석 가능성</x:v>
      </x:c>
      <x:c r="F199" s="45" t="str">
        <x:v>미확인</x:v>
      </x:c>
      <x:c r="G199" s="45" t="str">
        <x:v>신규 지분투자 승인과 희석 조건을 고려해야 한다. 2025년 말 비율을 2026-09-17 현재 비율로 간주할 수 없다.</x:v>
      </x:c>
      <x:c r="H199" s="45" t="str">
        <x:v>https://www.wonikholdings.kr/ir_01_Detail.do?no_no=34&amp;page=1
https://www.fsc.go.kr/no010101/87609</x:v>
      </x:c>
      <x:c r="I199" s="49" t="n">
        <x:v>46282</x:v>
      </x:c>
    </x:row>
    <x:row r="200" ht="24" hidden="0" customHeight="1">
      <x:c r="A200" s="2"/>
      <x:c r="B200" s="2"/>
      <x:c r="C200" s="45" t="str">
        <x:v>KCC011</x:v>
      </x:c>
      <x:c r="D200" s="45" t="str">
        <x:v>부품·공급관계 검토</x:v>
      </x:c>
      <x:c r="E200" s="45" t="str">
        <x:v>Stanford 연구가 테솔로 손실제사용</x:v>
      </x:c>
      <x:c r="F200" s="45" t="str">
        <x:v>확인</x:v>
      </x:c>
      <x:c r="G200" s="45" t="str">
        <x:v>논문 Hardware Platform/Setup DG-5F직접명시 | HandelBotIV-A1/DexDrummerV-A1</x:v>
      </x:c>
      <x:c r="H200" s="45" t="str">
        <x:v>https://arxiv.org/html/2603.12243v3
https://arxiv.org/html/2603.22263v1</x:v>
      </x:c>
      <x:c r="I200" s="49" t="n">
        <x:v>46282</x:v>
      </x:c>
    </x:row>
    <x:row r="201" ht="36" hidden="0" customHeight="1">
      <x:c r="A201" s="2"/>
      <x:c r="B201" s="2"/>
      <x:c r="C201" s="45" t="str">
        <x:v>KCC012</x:v>
      </x:c>
      <x:c r="D201" s="45" t="str">
        <x:v>부품·공급관계 검토</x:v>
      </x:c>
      <x:c r="E201" s="45" t="str">
        <x:v>HandelBot 곡별 훈련 시간과 팔 제어 조건</x:v>
      </x:c>
      <x:c r="F201" s="45" t="str">
        <x:v>실험 조건 한정</x:v>
      </x:c>
      <x:c r="G201" s="45" t="str">
        <x:v>논문의 훈련 시간은 곡별 30분~1시간이다. 과제별 훈련과 사전 구성 팔 궤적을 전제로 한다. | HandelBot IV-A5</x:v>
      </x:c>
      <x:c r="H201" s="45" t="str">
        <x:v>https://arxiv.org/html/2603.12243v3
https://www.tesollo.com/news/press/tesollo-robotic-hand-adopted-as-a-research-platform-at-stanford-university
https://amberxie88.github.io/handelbot/</x:v>
      </x:c>
      <x:c r="I201" s="49" t="n">
        <x:v>46282</x:v>
      </x:c>
    </x:row>
    <x:row r="202" ht="15" hidden="0" customHeight="1">
      <x:c r="A202" s="2"/>
      <x:c r="B202" s="2"/>
      <x:c r="C202" s="45" t="str">
        <x:v>KCC013</x:v>
      </x:c>
      <x:c r="D202" s="45" t="str">
        <x:v>부품·공급관계 검토</x:v>
      </x:c>
      <x:c r="E202" s="45" t="str">
        <x:v>DexDrummer 실물·시뮬레이션 성과의 구분</x:v>
      </x:c>
      <x:c r="F202" s="45" t="str">
        <x:v>실험 조건 한정</x:v>
      </x:c>
      <x:c r="G202" s="45" t="str">
        <x:v>양손 시뮬레이션과 현실 한손 과제를 분리한다. | V-A1</x:v>
      </x:c>
      <x:c r="H202" s="45" t="str">
        <x:v>https://arxiv.org/html/2603.22263v1</x:v>
      </x:c>
      <x:c r="I202" s="49" t="n">
        <x:v>46282</x:v>
      </x:c>
    </x:row>
    <x:row r="203" ht="15" hidden="0" customHeight="1">
      <x:c r="A203" s="2"/>
      <x:c r="B203" s="2"/>
      <x:c r="C203" s="45" t="str">
        <x:v>KCC014</x:v>
      </x:c>
      <x:c r="D203" s="45" t="str">
        <x:v>부품·공급관계 검토</x:v>
      </x:c>
      <x:c r="E203" s="45" t="str">
        <x:v>Tesollo 상장 추진 상태</x:v>
      </x:c>
      <x:c r="F203" s="45" t="str">
        <x:v>사실관계 구분</x:v>
      </x:c>
      <x:c r="G203" s="45" t="str">
        <x:v>2026-06-29 주관사 선정·IPO 준비를 발표했으며 2027년 이후를 목표로 한다. | 뉴스 목록</x:v>
      </x:c>
      <x:c r="H203" s="45" t="str">
        <x:v>https://www.tesollo.com/news/press</x:v>
      </x:c>
      <x:c r="I203" s="49" t="n">
        <x:v>46282</x:v>
      </x:c>
    </x:row>
    <x:row r="204" ht="15" hidden="0" customHeight="1">
      <x:c r="A204" s="2"/>
      <x:c r="B204" s="2"/>
      <x:c r="C204" s="45" t="str">
        <x:v>KCC015</x:v>
      </x:c>
      <x:c r="D204" s="45" t="str">
        <x:v>부품·공급관계 검토</x:v>
      </x:c>
      <x:c r="E204" s="45" t="str">
        <x:v>NVIDIA Inception 선정과 공급계약의 구분</x:v>
      </x:c>
      <x:c r="F204" s="45" t="str">
        <x:v>근거 없음</x:v>
      </x:c>
      <x:c r="G204" s="45" t="str">
        <x:v>창업지원프로그램선정은공급계약증거아님</x:v>
      </x:c>
      <x:c r="H204" s="45" t="str">
        <x:v>https://www.tesollo.com/news/press</x:v>
      </x:c>
      <x:c r="I204" s="49" t="n">
        <x:v>46282</x:v>
      </x:c>
    </x:row>
    <x:row r="205" ht="15" hidden="0" customHeight="1">
      <x:c r="A205" s="2"/>
      <x:c r="B205" s="2"/>
      <x:c r="C205" s="45" t="str">
        <x:v>KCC016</x:v>
      </x:c>
      <x:c r="D205" s="45" t="str">
        <x:v>부품·공급관계 검토</x:v>
      </x:c>
      <x:c r="E205" s="45" t="str">
        <x:v>에이딘AIRO-ONE은Zivid와실제통합</x:v>
      </x:c>
      <x:c r="F205" s="45" t="str">
        <x:v>확인</x:v>
      </x:c>
      <x:c r="G205" s="45" t="str">
        <x:v>카메라제조사사례에6축센서·7축가이드·MR60명시 | Solution</x:v>
      </x:c>
      <x:c r="H205" s="45" t="str">
        <x:v>https://www.zivid.com/aidin-robotics-enabling-next-level-automated-surface-finishing-with-high-precision-3d-vision</x:v>
      </x:c>
      <x:c r="I205" s="49" t="n">
        <x:v>46282</x:v>
      </x:c>
    </x:row>
    <x:row r="206" ht="24" hidden="0" customHeight="1">
      <x:c r="A206" s="2"/>
      <x:c r="B206" s="2"/>
      <x:c r="C206" s="45" t="str">
        <x:v>KCC017</x:v>
      </x:c>
      <x:c r="D206" s="45" t="str">
        <x:v>부품·공급관계 검토</x:v>
      </x:c>
      <x:c r="E206" s="45" t="str">
        <x:v>에이딘의 HD현대로보틱스 협력과 Atlas 공급 관계</x:v>
      </x:c>
      <x:c r="F206" s="45" t="str">
        <x:v>근거 없음</x:v>
      </x:c>
      <x:c r="G206" s="45" t="str">
        <x:v>HD현대로보틱스협력을현대차그룹과혼동하면안됨;Atlas관련공시없음</x:v>
      </x:c>
      <x:c r="H206" s="45" t="str">
        <x:v>https://www.aidinrobotics.co.kr/
https://www.zivid.com/aidin-robotics-enabling-next-level-automated-surface-finishing-with-high-precision-3d-vision</x:v>
      </x:c>
      <x:c r="I206" s="49" t="n">
        <x:v>46282</x:v>
      </x:c>
    </x:row>
    <x:row r="207" ht="60" hidden="0" customHeight="1">
      <x:c r="A207" s="2"/>
      <x:c r="B207" s="2"/>
      <x:c r="C207" s="45" t="str">
        <x:v>KCC018</x:v>
      </x:c>
      <x:c r="D207" s="45" t="str">
        <x:v>부품·공급관계 검토</x:v>
      </x:c>
      <x:c r="E207" s="45" t="str">
        <x:v>에이딘160억원전략투자공동개발발표</x:v>
      </x:c>
      <x:c r="F207" s="45" t="str">
        <x:v>회사 발표 확인</x:v>
      </x:c>
      <x:c r="G207" s="45" t="str">
        <x:v>HD현대로보틱스·삼성벤처투자합계,센서양산설비·품질검증투자와조선손공동개발 | 홈페이지2026년9월게시</x:v>
      </x:c>
      <x:c r="H207" s="45" t="str">
        <x:v>https://www.aidinrobotics.co.kr/
https://www.aidinrobotics.co.kr/post/%EC%97%90%EC%9D%B4%EB%94%98%EB%A1%9C%EB%B3%B4%ED%8B%B1%EC%8A%A4-hd%ED%98%84%EB%8C%80%EB%A1%9C%EB%B3%B4%ED%8B%B1%EC%8A%A4-%EC%82%BC%EC%84%B1%EB%B2%A4%EC%B2%98%ED%88%AC%EC%9E%90%EC%84%9C-160%EC%96%B5-%ED%88%AC%EC%9E%90-%EC%9C%A0%EC%B9%98-%EB%A1%9C%EB%B4%87%ED%95%B8%EB%93%9C-%EA%B3%B5%EB%8F%99%EA%B0%9C%EB%B0%9C</x:v>
      </x:c>
      <x:c r="I207" s="49" t="n">
        <x:v>46282</x:v>
      </x:c>
    </x:row>
    <x:row r="208" ht="15" hidden="0" customHeight="1">
      <x:c r="A208" s="2"/>
      <x:c r="B208" s="2"/>
      <x:c r="C208" s="45" t="str">
        <x:v>KCC019</x:v>
      </x:c>
      <x:c r="D208" s="45" t="str">
        <x:v>부품·공급관계 검토</x:v>
      </x:c>
      <x:c r="E208" s="45" t="str">
        <x:v>SPG는정밀감속기와SDD제품을보유</x:v>
      </x:c>
      <x:c r="F208" s="45" t="str">
        <x:v>확인</x:v>
      </x:c>
      <x:c r="G208" s="45" t="str">
        <x:v>공식제품목록에서KSH/KSR/SDD설명확인</x:v>
      </x:c>
      <x:c r="H208" s="45" t="str">
        <x:v>https://www.spg.co.kr/</x:v>
      </x:c>
      <x:c r="I208" s="49" t="n">
        <x:v>46282</x:v>
      </x:c>
    </x:row>
    <x:row r="209" ht="24" hidden="0" customHeight="1">
      <x:c r="A209" s="2"/>
      <x:c r="B209" s="2"/>
      <x:c r="C209" s="45" t="str">
        <x:v>KCC020</x:v>
      </x:c>
      <x:c r="D209" s="45" t="str">
        <x:v>부품·공급관계 검토</x:v>
      </x:c>
      <x:c r="E209" s="45" t="str">
        <x:v>SPG–Tesla 양산 공급 관계의 공식 근거</x:v>
      </x:c>
      <x:c r="F209" s="45" t="str">
        <x:v>미확인·미채택</x:v>
      </x:c>
      <x:c r="G209" s="45" t="str">
        <x:v>양당사자계약원문미확인;고객목록동적로드불가로추정불가</x:v>
      </x:c>
      <x:c r="H209" s="45" t="str">
        <x:v>https://www.spg.co.kr/
https://www.spg.co.kr/marketing?gnbScroll=1&amp;tab=customers</x:v>
      </x:c>
      <x:c r="I209" s="49" t="n">
        <x:v>46282</x:v>
      </x:c>
    </x:row>
    <x:row r="210" ht="15" hidden="0" customHeight="1">
      <x:c r="A210" s="2"/>
      <x:c r="B210" s="2"/>
      <x:c r="C210" s="45" t="str">
        <x:v>KCC021</x:v>
      </x:c>
      <x:c r="D210" s="45" t="str">
        <x:v>부품·공급관계 검토</x:v>
      </x:c>
      <x:c r="E210" s="45" t="str">
        <x:v>SBB Tech Top 3 표현의 목표·실적 구분</x:v>
      </x:c>
      <x:c r="F210" s="45" t="str">
        <x:v>과장 방지</x:v>
      </x:c>
      <x:c r="G210" s="45" t="str">
        <x:v>Top3로도약한다는홍보표현,독립점유율순위없음</x:v>
      </x:c>
      <x:c r="H210" s="45" t="str">
        <x:v>https://www.ces2026-humanoidmaxalliance.com/sbb-tech</x:v>
      </x:c>
      <x:c r="I210" s="49" t="n">
        <x:v>46282</x:v>
      </x:c>
    </x:row>
    <x:row r="211" ht="15" hidden="0" customHeight="1">
      <x:c r="A211" s="2"/>
      <x:c r="B211" s="2"/>
      <x:c r="C211" s="45" t="str">
        <x:v>KCC022</x:v>
      </x:c>
      <x:c r="D211" s="45" t="str">
        <x:v>부품·공급관계 검토</x:v>
      </x:c>
      <x:c r="E211" s="45" t="str">
        <x:v>SBB Tech–Tesla 양산 공급 관계의 공식 근거</x:v>
      </x:c>
      <x:c r="F211" s="45" t="str">
        <x:v>미확인·미채택</x:v>
      </x:c>
      <x:c r="G211" s="45" t="str">
        <x:v>제품자료는공급자명단증빙아님</x:v>
      </x:c>
      <x:c r="H211" s="45" t="str">
        <x:v>https://www.ces2026-humanoidmaxalliance.com/sbb-tech</x:v>
      </x:c>
      <x:c r="I211" s="49" t="n">
        <x:v>46282</x:v>
      </x:c>
    </x:row>
    <x:row r="212" ht="24" hidden="0" customHeight="1">
      <x:c r="A212" s="2"/>
      <x:c r="B212" s="2"/>
      <x:c r="C212" s="45" t="str">
        <x:v>KCC023</x:v>
      </x:c>
      <x:c r="D212" s="45" t="str">
        <x:v>부품·공급관계 검토</x:v>
      </x:c>
      <x:c r="E212" s="45" t="str">
        <x:v>Neuromeka는NAMI EIR 및CORE부품확인</x:v>
      </x:c>
      <x:c r="F212" s="45" t="str">
        <x:v>제품 확인</x:v>
      </x:c>
      <x:c r="G212" s="45" t="str">
        <x:v>공식기체·부품페이지기준,양산운영우위는미확인</x:v>
      </x:c>
      <x:c r="H212" s="45" t="str">
        <x:v>https://www.neuromeka.com/humanoids
https://www.neuromeka.com/robotparts</x:v>
      </x:c>
      <x:c r="I212" s="49" t="n">
        <x:v>46282</x:v>
      </x:c>
    </x:row>
    <x:row r="213" ht="24" hidden="0" customHeight="1">
      <x:c r="A213" s="2"/>
      <x:c r="B213" s="2"/>
      <x:c r="C213" s="45" t="str">
        <x:v>KMF01</x:v>
      </x:c>
      <x:c r="D213" s="45" t="str">
        <x:v>시각자료·산업통계 검토</x:v>
      </x:c>
      <x:c r="E213" s="45" t="str">
        <x:v>ROBOTIS 제품 페이지 영상의 제목·게시 채널·원격조작 분류</x:v>
      </x:c>
      <x:c r="F213" s="45" t="str">
        <x:v>제목·분류 확인</x:v>
      </x:c>
      <x:c r="G213" s="45" t="str">
        <x:v>pFPKaru62gQ의 실제 Google oEmbed 제목은 AI WORKER #7: PAPRLE VR Teleoperation – Vision Pro Meets AI WORKER이며 공식 OpenSourceTeam 채널이다. 카드의 Industrial Use Cases 설명과 구분하며 현장 자율 운용 증거로 취급하지 않는다.</x:v>
      </x:c>
      <x:c r="H213" s="45" t="str">
        <x:v>https://www.robotis.com/en/product/ecosystem-aiworker.php</x:v>
      </x:c>
      <x:c r="I213" s="49" t="n">
        <x:v>46282</x:v>
      </x:c>
    </x:row>
    <x:row r="214" ht="24" hidden="0" customHeight="1">
      <x:c r="A214" s="2"/>
      <x:c r="B214" s="2"/>
      <x:c r="C214" s="45" t="str">
        <x:v>KMF02</x:v>
      </x:c>
      <x:c r="D214" s="45" t="str">
        <x:v>시각자료·산업통계 검토</x:v>
      </x:c>
      <x:c r="E214" s="45" t="str">
        <x:v>Atlas 공식 페이지와 영상 식별자의 일치</x:v>
      </x:c>
      <x:c r="F214" s="45" t="str">
        <x:v>영상 식별 확인</x:v>
      </x:c>
      <x:c r="G214" s="45" t="str">
        <x:v>HMG 공용 임베드 HN_ej7jQVE0는 Google oEmbed에서 Atlas와 무관한 MBC 영상으로 확인된다. 이 식별자·미검증 MP4는 Atlas 근거가 아니다. 공식 Atlas 페이지를 근거로 삼으며 Atlas 포스터는 직접 열람했다.</x:v>
      </x:c>
      <x:c r="H214" s="45" t="str">
        <x:v>https://www.hyundaimotorgroup.com/en/tv/CONT0000000000198412</x:v>
      </x:c>
      <x:c r="I214" s="49" t="n">
        <x:v>46282</x:v>
      </x:c>
    </x:row>
    <x:row r="215" ht="15" hidden="0" customHeight="1">
      <x:c r="A215" s="2"/>
      <x:c r="B215" s="2"/>
      <x:c r="C215" s="45" t="str">
        <x:v>KMF03</x:v>
      </x:c>
      <x:c r="D215" s="45" t="str">
        <x:v>시각자료·산업통계 검토</x:v>
      </x:c>
      <x:c r="E215" s="45" t="str">
        <x:v>Rainbow RB-Y1 영상 | 공식 소개 영상이 실시간 원격조작으로 제어됐다는 페이지 각주 존재</x:v>
      </x:c>
      <x:c r="F215" s="45" t="str">
        <x:v>원격조작 명시</x:v>
      </x:c>
      <x:c r="G215" s="45" t="str">
        <x:v>자율작업 증거가 아닌 원격조작 데모로 명시</x:v>
      </x:c>
      <x:c r="H215" s="45" t="str">
        <x:v>https://rainbow-robotics.com/dual-arm-mobile-manipulator-rb-y1/</x:v>
      </x:c>
      <x:c r="I215" s="49" t="n">
        <x:v>46282</x:v>
      </x:c>
    </x:row>
    <x:row r="216" ht="15" hidden="0" customHeight="1">
      <x:c r="A216" s="2"/>
      <x:c r="B216" s="2"/>
      <x:c r="C216" s="45" t="str">
        <x:v>KMF04</x:v>
      </x:c>
      <x:c r="D216" s="45" t="str">
        <x:v>시각자료·산업통계 검토</x:v>
      </x:c>
      <x:c r="E216" s="45" t="str">
        <x:v>Rainbow Heritage 창업 연도와 대회 우승 연도</x:v>
      </x:c>
      <x:c r="F216" s="45" t="str">
        <x:v>연혁 확인</x:v>
      </x:c>
      <x:c r="G216" s="45" t="str">
        <x:v>페이지 하단 연혁은 2011년 창업·2015년 우승을 명시한다. 상단 서술은 창업 시점에 관해 혼동을 줄 수 있다. 정부 대회 기록은 2015년 Rainbow 스핀오프의 하드웨어 역할을 확인한다.</x:v>
      </x:c>
      <x:c r="H216" s="45" t="str">
        <x:v>https://rainbow-robotics.com/en/company/heritage-story/</x:v>
      </x:c>
      <x:c r="I216" s="49" t="n">
        <x:v>46282</x:v>
      </x:c>
    </x:row>
    <x:row r="217" ht="15" hidden="0" customHeight="1">
      <x:c r="A217" s="2"/>
      <x:c r="B217" s="2"/>
      <x:c r="C217" s="45" t="str">
        <x:v>KMF05</x:v>
      </x:c>
      <x:c r="D217" s="45" t="str">
        <x:v>시각자료·산업통계 검토</x:v>
      </x:c>
      <x:c r="E217" s="45" t="str">
        <x:v>DVIDS DRC-Hubo 역사 사진 | 사진 Date Taken 2015-06-04이나 캡션은 결선 06-05~06,게시2025-07-03</x:v>
      </x:c>
      <x:c r="F217" s="45" t="str">
        <x:v>정확한 촬영일 미확정</x:v>
      </x:c>
      <x:c r="G217" s="45" t="str">
        <x:v>2015년 대회 역사사진으로 명시,정확촬영일 미확정; 2025/2026신제품사진으로 사용않음</x:v>
      </x:c>
      <x:c r="H217" s="45" t="str">
        <x:v>https://www.dvidshub.net/image/9146932/team-kaists-robot-wins-darpa-robotics-challenge-with-wall-cutting-tool</x:v>
      </x:c>
      <x:c r="I217" s="49" t="n">
        <x:v>46282</x:v>
      </x:c>
    </x:row>
    <x:row r="218" ht="15" hidden="0" customHeight="1">
      <x:c r="A218" s="2"/>
      <x:c r="B218" s="2"/>
      <x:c r="C218" s="45" t="str">
        <x:v>KMF06</x:v>
      </x:c>
      <x:c r="D218" s="45" t="str">
        <x:v>시각자료·산업통계 검토</x:v>
      </x:c>
      <x:c r="E218" s="45" t="str">
        <x:v>ROBOTIS AI Worker 공식 제품 이미지의 유형</x:v>
      </x:c>
      <x:c r="F218" s="45" t="str">
        <x:v>CG·실사 구분</x:v>
      </x:c>
      <x:c r="G218" s="45" t="str">
        <x:v>aiworker_front.webp 직접 열람 결과 CG 렌더로 판단한다. 실사 원본 사진으로 취급하지 않는다.</x:v>
      </x:c>
      <x:c r="H218" s="45" t="str">
        <x:v>https://www.robotis.com/assets/img/products/aiworker_front.webp</x:v>
      </x:c>
      <x:c r="I218" s="49" t="n">
        <x:v>46282</x:v>
      </x:c>
    </x:row>
    <x:row r="219" ht="36" hidden="0" customHeight="1">
      <x:c r="A219" s="2"/>
      <x:c r="B219" s="2"/>
      <x:c r="C219" s="45" t="str">
        <x:v>KMF07</x:v>
      </x:c>
      <x:c r="D219" s="45" t="str">
        <x:v>시각자료·산업통계 검토</x:v>
      </x:c>
      <x:c r="E219" s="45" t="str">
        <x:v>IFR 산업용 로봇 설치량·밀도의 국가별 범위와 관측연도</x:v>
      </x:c>
      <x:c r="F219" s="45" t="str">
        <x:v>통계 정의·연도 확인</x:v>
      </x:c>
      <x:c r="G219" s="45" t="str">
        <x:v>2024년 산업용 로봇 신규 설치량은 세계 542,000대·중국 295,000대·일본 44,500대·미국 34,200대·한국 30,600대·독일 26,982대·인도 9,100대다. 밀도는 제조업 근로자 1만 명당 한국 1,220대·싱가포르 818대·독일 449대·일본 446대·미국 307대·세계 132대다. 밀도 자료는 2026년 발표·2024년 관측이며 중국 노동통계 분모 갱신으로 과거 순위와 불연속성이 있다. 산업용 로봇 통계를 휴머노이드 판매 점유율로 환산하지 않는다.</x:v>
      </x:c>
      <x:c r="H219" s="45" t="str">
        <x:v>https://ifr.org/ifr-press-releases/news/robot-density-surges-in-europe-asia-and-americas
https://ifr.org/ifr-press-releases/news/global-robot-demand-in-factories-doubles-over-10-years</x:v>
      </x:c>
      <x:c r="I219" s="49" t="n">
        <x:v>46282</x:v>
      </x:c>
    </x:row>
    <x:row r="220" ht="24" hidden="0" customHeight="1">
      <x:c r="A220" s="2"/>
      <x:c r="B220" s="2"/>
      <x:c r="C220" s="45" t="str">
        <x:v>FV01</x:v>
      </x:c>
      <x:c r="D220" s="45" t="str">
        <x:v>영상 제목·게시자 검토</x:v>
      </x:c>
      <x:c r="E220" s="45" t="str">
        <x:v>Tesla | Optimus – Gen 2 | Tesla의 영상 제목·게시 채널</x:v>
      </x:c>
      <x:c r="F220" s="45" t="str">
        <x:v>메타데이터 확인·전체 재생 미확인</x:v>
      </x:c>
      <x:c r="G220" s="45" t="str">
        <x:v>실제 제목: Optimus - Gen 2 | Tesla | 게시 채널: Tesla | 일치 또는 의미상 동일한 한국어 제목 | 공식 출처 연결과 Google oEmbed 게시 채널이 일치 | Google YouTube oEmbed metadata only; 전체 재생 미확인</x:v>
      </x:c>
      <x:c r="H220" s="45" t="str">
        <x:v>https://www.youtube.com/embed/cpraXaw7dyc</x:v>
      </x:c>
      <x:c r="I220" s="49" t="n">
        <x:v>46282</x:v>
      </x:c>
    </x:row>
    <x:row r="221" ht="24" hidden="0" customHeight="1">
      <x:c r="A221" s="2"/>
      <x:c r="B221" s="2"/>
      <x:c r="C221" s="45" t="str">
        <x:v>FV02</x:v>
      </x:c>
      <x:c r="D221" s="45" t="str">
        <x:v>영상 제목·게시자 검토</x:v>
      </x:c>
      <x:c r="E221" s="45" t="str">
        <x:v>Figure | Humanoid Figure 02 robots tested at BMW Group Plant Spartanburg의 영상 제목·게시 채널</x:v>
      </x:c>
      <x:c r="F221" s="45" t="str">
        <x:v>메타데이터 확인·전체 재생 미확인</x:v>
      </x:c>
      <x:c r="G221" s="45" t="str">
        <x:v>실제 제목: Humanoid Figure 02 robots tested at BMW Group Plant Spartanburg | 게시 채널: BMW Group | 일치 또는 의미상 동일한 한국어 제목 | 공식 출처 연결과 Google oEmbed 게시 채널이 일치 | Google YouTube oEmbed metadata only; 전체 재생 미확인</x:v>
      </x:c>
      <x:c r="H221" s="45" t="str">
        <x:v>https://www.youtube.com/embed/xLVm-QKEZSI</x:v>
      </x:c>
      <x:c r="I221" s="49" t="n">
        <x:v>46282</x:v>
      </x:c>
    </x:row>
    <x:row r="222" ht="24" hidden="0" customHeight="1">
      <x:c r="A222" s="2"/>
      <x:c r="B222" s="2"/>
      <x:c r="C222" s="45" t="str">
        <x:v>FV05</x:v>
      </x:c>
      <x:c r="D222" s="45" t="str">
        <x:v>영상 제목·게시자 검토</x:v>
      </x:c>
      <x:c r="E222" s="45" t="str">
        <x:v>Agility Robotics | Digit's First Day of Work at GXO의 영상 제목·게시 채널</x:v>
      </x:c>
      <x:c r="F222" s="45" t="str">
        <x:v>메타데이터 확인·전체 재생 미확인</x:v>
      </x:c>
      <x:c r="G222" s="45" t="str">
        <x:v>실제 제목: Digit's First Day of Work at GXO | 게시 채널: Agility | 일치 또는 의미상 동일한 한국어 제목 | 공식 출처 연결과 Google oEmbed 게시 채널이 일치 | Google YouTube oEmbed metadata only; 전체 재생 미확인</x:v>
      </x:c>
      <x:c r="H222" s="45" t="str">
        <x:v>https://www.youtube.com/embed/AJpTpUqjgrY</x:v>
      </x:c>
      <x:c r="I222" s="49" t="n">
        <x:v>46282</x:v>
      </x:c>
    </x:row>
    <x:row r="223" ht="24" hidden="0" customHeight="1">
      <x:c r="A223" s="2"/>
      <x:c r="B223" s="2"/>
      <x:c r="C223" s="45" t="str">
        <x:v>FV08</x:v>
      </x:c>
      <x:c r="D223" s="45" t="str">
        <x:v>영상 제목·게시자 검토</x:v>
      </x:c>
      <x:c r="E223" s="45" t="str">
        <x:v>Boston Dynamics | All New Atlas: 전기식 세대 공개의 영상 제목·게시 채널</x:v>
      </x:c>
      <x:c r="F223" s="45" t="str">
        <x:v>메타데이터 확인·전체 재생 미확인</x:v>
      </x:c>
      <x:c r="G223" s="45" t="str">
        <x:v>실제 제목: All New Atlas | Boston Dynamics | 게시 채널: Boston Dynamics | 일치 또는 의미상 동일한 한국어 제목 | 공식 출처 연결과 Google oEmbed 게시 채널이 일치 | Google YouTube oEmbed metadata only; 전체 재생 미확인</x:v>
      </x:c>
      <x:c r="H223" s="45" t="str">
        <x:v>https://www.youtube.com/embed/29ECwExc-_M</x:v>
      </x:c>
      <x:c r="I223" s="49" t="n">
        <x:v>46282</x:v>
      </x:c>
    </x:row>
    <x:row r="224" ht="24" hidden="0" customHeight="1">
      <x:c r="A224" s="2"/>
      <x:c r="B224" s="2"/>
      <x:c r="C224" s="45" t="str">
        <x:v>FV09</x:v>
      </x:c>
      <x:c r="D224" s="45" t="str">
        <x:v>영상 제목·게시자 검토</x:v>
      </x:c>
      <x:c r="E224" s="45" t="str">
        <x:v>1X | NEO The Home Robot | Order Today의 영상 제목·게시 채널</x:v>
      </x:c>
      <x:c r="F224" s="45" t="str">
        <x:v>메타데이터 확인·전체 재생 미확인</x:v>
      </x:c>
      <x:c r="G224" s="45" t="str">
        <x:v>실제 제목: NEO The Home Robot | Order Today | 게시 채널: 1X | 일치 또는 의미상 동일한 한국어 제목 | 공식 출처 연결과 Google oEmbed 게시 채널이 일치 | Google YouTube oEmbed metadata only; 전체 재생 미확인</x:v>
      </x:c>
      <x:c r="H224" s="45" t="str">
        <x:v>https://www.youtube.com/embed/LTYMWadOW7c</x:v>
      </x:c>
      <x:c r="I224" s="49" t="n">
        <x:v>46282</x:v>
      </x:c>
    </x:row>
    <x:row r="225" ht="24" hidden="0" customHeight="1">
      <x:c r="A225" s="2"/>
      <x:c r="B225" s="2"/>
      <x:c r="C225" s="45" t="str">
        <x:v>FV13</x:v>
      </x:c>
      <x:c r="D225" s="45" t="str">
        <x:v>영상 제목·게시자 검토</x:v>
      </x:c>
      <x:c r="E225" s="45" t="str">
        <x:v>AGIBOT | Longcheer 생산라인 라이브: Day 1의 영상 제목·게시 채널</x:v>
      </x:c>
      <x:c r="F225" s="45" t="str">
        <x:v>메타데이터 확인·전체 재생 미확인</x:v>
      </x:c>
      <x:c r="G225" s="45" t="str">
        <x:v>실제 제목: AGIBOT Livestream Day 1: Multiple AGIBOT G2 Humanoid Robots Working on a Real Tablet Production Line | 게시 채널: AGIBOT | 일치 또는 의미상 동일한 한국어 제목 | 공식 출처 연결과 Google oEmbed 게시 채널이 일치 | Google YouTube oEmbed metadata only; 전체 재생 미확인</x:v>
      </x:c>
      <x:c r="H225" s="45" t="str">
        <x:v>https://www.youtube.com/embed/WKkfB-1YyGk</x:v>
      </x:c>
      <x:c r="I225" s="49" t="n">
        <x:v>46282</x:v>
      </x:c>
    </x:row>
    <x:row r="226" ht="24" hidden="0" customHeight="1">
      <x:c r="A226" s="2"/>
      <x:c r="B226" s="2"/>
      <x:c r="C226" s="45" t="str">
        <x:v>FV18</x:v>
      </x:c>
      <x:c r="D226" s="45" t="str">
        <x:v>영상 제목·게시자 검토</x:v>
      </x:c>
      <x:c r="E226" s="45" t="str">
        <x:v>Google DeepMind / Apptronik | Gemini Robotics 2: Whole-body intelligence의 영상 제목·게시 채널</x:v>
      </x:c>
      <x:c r="F226" s="45" t="str">
        <x:v>메타데이터 확인·전체 재생 미확인</x:v>
      </x:c>
      <x:c r="G226" s="45" t="str">
        <x:v>실제 제목: Gemini Robotics 2 brings whole body intelligence to robots | 게시 채널: Google DeepMind | 일치 또는 의미상 동일한 한국어 제목 | 공식 출처 연결과 Google oEmbed 게시 채널이 일치 | Google YouTube oEmbed metadata only; 전체 재생 미확인</x:v>
      </x:c>
      <x:c r="H226" s="45" t="str">
        <x:v>https://www.youtube.com/embed/4lSQnrMC6nY</x:v>
      </x:c>
      <x:c r="I226" s="49" t="n">
        <x:v>46282</x:v>
      </x:c>
    </x:row>
  </x:sheetData>
  <x:pageMargins left="0.7" right="0.7" top="0.75" bottom="0.75" header="0.3" footer="0.3"/>
  <x:tableParts count="1">
    <x:tablePart xmlns:r="http://schemas.openxmlformats.org/officeDocument/2006/relationships" r:id="R557913e1890b41e2"/>
  </x:tableParts>
</x:worksheet>
</file>